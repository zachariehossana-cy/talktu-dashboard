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2.xml.rels" ContentType="application/vnd.openxmlformats-package.relationships+xml"/>
  <Override PartName="/xl/worksheets/sheet8.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ver &amp; Instructions" sheetId="1" state="visible" r:id="rId3"/>
    <sheet name="Dashboard" sheetId="2" state="visible" r:id="rId4"/>
    <sheet name="Assumptions" sheetId="3" state="visible" r:id="rId5"/>
    <sheet name="Revenue Model" sheetId="4" state="visible" r:id="rId6"/>
    <sheet name="OpEx" sheetId="5" state="visible" r:id="rId7"/>
    <sheet name="Cash Flow" sheetId="6" state="visible" r:id="rId8"/>
    <sheet name="P&amp;L Summary" sheetId="7" state="visible" r:id="rId9"/>
    <sheet name="Scenario Analysis" sheetId="8" state="visible" r:id="rId10"/>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<sst xmlns="http://schemas.openxmlformats.org/spreadsheetml/2006/main" count="288" uniqueCount="174">
  <si>
    <t xml:space="preserve">talktü — 12-Month Financial Model (Aug 2026 – Jul 2027) — NGN, 3-Scenario Edition</t>
  </si>
  <si>
    <t xml:space="preserve">Prepared by Zacharie Hossana Dayang — Finance Associate Intern</t>
  </si>
  <si>
    <t xml:space="preserve">PURPOSE</t>
  </si>
  <si>
    <t xml:space="preserve">This workbook is a working 12-month financial model for talktü, built to satisfy the first 30-day deliverable of the Finance Associate Intern role: a functional financial model covering budget, revenue forecast and cash flow, in Naira (₦). It goes further than a single forecast: it adds a Conservative / Base / Optimistic Scenario Analysis, the kind of sensitivity thinking used in quantitative finance, so leadership can see a range of outcomes, not just one guess. It is designed to be realistic (grounded in typical African B2C/B2B edtech unit economics), innovative (blended B2C + B2B + grant revenue mix, marketing spend tied to revenue, and scenario-based risk analysis) and easy to present to non-finance stakeholders.</t>
  </si>
  <si>
    <t xml:space="preserve">HOW TO USE THIS FILE</t>
  </si>
  <si>
    <t xml:space="preserve">1. Assumptions — replace every blue/yellow input with talktü's real numbers (pricing, current user base, actual salaries, current cash balance) as soon as you get them from Sarah / the Finance Lead.</t>
  </si>
  <si>
    <t xml:space="preserve">2. Revenue Model — auto-calculates Parent App, School Platform, Assessment and Grant revenue from the Assumptions tab. Do not type over the black formula cells.</t>
  </si>
  <si>
    <t xml:space="preserve">3. OpEx — auto-calculates salaries, tech, marketing and admin costs, including a variable cost that scales with users (tech) and with revenue (marketing reinvestment).</t>
  </si>
  <si>
    <t xml:space="preserve">4. Cash Flow — rolls beginning/ending cash forward month by month and estimates runway.</t>
  </si>
  <si>
    <t xml:space="preserve">5. P&amp;L Summary — a clean monthly + full-year income statement, ready to paste into slides.</t>
  </si>
  <si>
    <t xml:space="preserve">6. Scenario Analysis — Conservative / Base / Optimistic side by side: revenue, cash and runway under three different growth and retention assumptions.</t>
  </si>
  <si>
    <t xml:space="preserve">7. Dashboard — charts + a KPI box, built for a 5-minute stakeholder presentation, including the 3-scenario cash comparison.</t>
  </si>
  <si>
    <t xml:space="preserve">COLOR LEGEND</t>
  </si>
  <si>
    <t xml:space="preserve">Blue text on yellow fill</t>
  </si>
  <si>
    <t xml:space="preserve">Hardcoded input / assumption — safe and expected to edit</t>
  </si>
  <si>
    <t xml:space="preserve">Black text</t>
  </si>
  <si>
    <t xml:space="preserve">Formula — do not overwrite</t>
  </si>
  <si>
    <t xml:space="preserve">Green text</t>
  </si>
  <si>
    <t xml:space="preserve">Link pulling a value from another sheet</t>
  </si>
  <si>
    <t xml:space="preserve">Bold on light-blue fill</t>
  </si>
  <si>
    <t xml:space="preserve">Subtotal / Total row</t>
  </si>
  <si>
    <t xml:space="preserve">KEY ASSUMPTIONS TO VALIDATE FIRST</t>
  </si>
  <si>
    <t xml:space="preserve">All figures below are realistic placeholders benchmarked against comparable early-stage African B2C/B2B edtech ventures — not talktü's actual books. Flag this clearly whenever you present the model, and swap in real numbers the moment you have them (current cash balance, current subscriber count, actual salaries, and actual school pipeline are the highest-priority ones).</t>
  </si>
  <si>
    <t xml:space="preserve">talktü — Financial Model Dashboard (FY Aug 2026 – Jul 2027)</t>
  </si>
  <si>
    <t xml:space="preserve">Illustrative model — replace Assumptions with actuals before external presentation.</t>
  </si>
  <si>
    <t xml:space="preserve">Full-Year Revenue</t>
  </si>
  <si>
    <t xml:space="preserve">Full-Year OpEx</t>
  </si>
  <si>
    <t xml:space="preserve">Full-Year Net Result</t>
  </si>
  <si>
    <t xml:space="preserve">Estimated Runway</t>
  </si>
  <si>
    <t xml:space="preserve">Funding Need (Yr 1)</t>
  </si>
  <si>
    <t xml:space="preserve">Full-Year Scenario Summary</t>
  </si>
  <si>
    <t xml:space="preserve">Conservative</t>
  </si>
  <si>
    <t xml:space="preserve">Base</t>
  </si>
  <si>
    <t xml:space="preserve">Optimistic</t>
  </si>
  <si>
    <t xml:space="preserve">Full-Year Revenue (₦)</t>
  </si>
  <si>
    <t xml:space="preserve">Full-Year OpEx (₦)</t>
  </si>
  <si>
    <t xml:space="preserve">Full-Year Net Result (₦)</t>
  </si>
  <si>
    <t xml:space="preserve">Ending Cash — Jul-27 (₦)</t>
  </si>
  <si>
    <t xml:space="preserve">Estimated Runway (months)</t>
  </si>
  <si>
    <t xml:space="preserve">Key Drivers &amp; Assumptions</t>
  </si>
  <si>
    <t xml:space="preserve">Column B = Base case (used everywhere). Columns C/D = Conservative / Optimistic, used only in the Scenario Analysis tab. Edit only blue/yellow cells.</t>
  </si>
  <si>
    <t xml:space="preserve">BASE</t>
  </si>
  <si>
    <t xml:space="preserve">CONSERVATIVE</t>
  </si>
  <si>
    <t xml:space="preserve">OPTIMISTIC</t>
  </si>
  <si>
    <t xml:space="preserve">GENERAL</t>
  </si>
  <si>
    <t xml:space="preserve">Model Start Month</t>
  </si>
  <si>
    <t xml:space="preserve">Aug-2026</t>
  </si>
  <si>
    <t xml:space="preserve">Currency</t>
  </si>
  <si>
    <t xml:space="preserve">NGN (₦)</t>
  </si>
  <si>
    <t xml:space="preserve">Starting Cash Balance (₦)</t>
  </si>
  <si>
    <t xml:space="preserve">Replace with talktü's actual bank balance on Day 1. (~₦75M ≈ $50,000 at ₦1,500/$1.)</t>
  </si>
  <si>
    <t xml:space="preserve">PARENT APP — B2C SUBSCRIPTIONS</t>
  </si>
  <si>
    <t xml:space="preserve">New App Downloads — Month 1</t>
  </si>
  <si>
    <t xml:space="preserve">New free installs of the parent app in the first month.</t>
  </si>
  <si>
    <t xml:space="preserve">Monthly Download Growth Rate</t>
  </si>
  <si>
    <t xml:space="preserve">Month-over-month growth in new downloads (organic + marketing-driven).</t>
  </si>
  <si>
    <t xml:space="preserve">Free-to-Premium Conversion Rate</t>
  </si>
  <si>
    <t xml:space="preserve">Share of each month's new downloads that upgrade to a paid plan.</t>
  </si>
  <si>
    <t xml:space="preserve">Premium Subscription Price (₦/month)</t>
  </si>
  <si>
    <t xml:space="preserve">Benchmark: comparable African parent-learning apps price ₦3,000-7,500/month.</t>
  </si>
  <si>
    <t xml:space="preserve">Premium Monthly Churn Rate</t>
  </si>
  <si>
    <t xml:space="preserve">Share of paying subscribers who cancel each month.</t>
  </si>
  <si>
    <t xml:space="preserve">SCHOOL PLATFORM — B2B</t>
  </si>
  <si>
    <t xml:space="preserve">New Schools Onboarded — Month 1</t>
  </si>
  <si>
    <t xml:space="preserve">Pilot schools signed at launch.</t>
  </si>
  <si>
    <t xml:space="preserve">New Schools Added per Month (from Month 2)</t>
  </si>
  <si>
    <t xml:space="preserve">Steady-state sales pace once the pipeline is running.</t>
  </si>
  <si>
    <t xml:space="preserve">Price per School (₦/month)</t>
  </si>
  <si>
    <t xml:space="preserve">Flat classroom-tools licence fee per school.</t>
  </si>
  <si>
    <t xml:space="preserve">School Monthly Churn Rate</t>
  </si>
  <si>
    <t xml:space="preserve">B2B contracts churn far slower than consumer subscriptions.</t>
  </si>
  <si>
    <t xml:space="preserve">ASSESSMENTS</t>
  </si>
  <si>
    <t xml:space="preserve">Assessments Sold — Month 1</t>
  </si>
  <si>
    <t xml:space="preserve">Paid developmental/learning assessments.</t>
  </si>
  <si>
    <t xml:space="preserve">Monthly Growth Rate — Assessments</t>
  </si>
  <si>
    <t xml:space="preserve">Price per Assessment (₦)</t>
  </si>
  <si>
    <t xml:space="preserve">GRANTS &amp; PARTNERSHIPS</t>
  </si>
  <si>
    <t xml:space="preserve">Quarterly Grant / Partner Inflow (₦)</t>
  </si>
  <si>
    <t xml:space="preserve">Booked in Month 3, 6, 9 and 12. Conservative assumes no grant secured yet.</t>
  </si>
  <si>
    <t xml:space="preserve">OPERATING EXPENSES</t>
  </si>
  <si>
    <t xml:space="preserve">Core Team Monthly Salaries (₦)</t>
  </si>
  <si>
    <t xml:space="preserve">All-in payroll for the core team (product, eng, learning, ops).</t>
  </si>
  <si>
    <t xml:space="preserve">Quarterly Salary Growth Rate</t>
  </si>
  <si>
    <t xml:space="preserve">Step-up every 3 months (raises / new hires).</t>
  </si>
  <si>
    <t xml:space="preserve">Tech &amp; Hosting — Base (₦/month)</t>
  </si>
  <si>
    <t xml:space="preserve">Tech &amp; Hosting — Variable Cost per App User (₦)</t>
  </si>
  <si>
    <t xml:space="preserve">Cloud/infra cost that scales with the cumulative user base.</t>
  </si>
  <si>
    <t xml:space="preserve">Marketing — Base (₦/month)</t>
  </si>
  <si>
    <t xml:space="preserve">Marketing — % of Revenue Reinvested</t>
  </si>
  <si>
    <t xml:space="preserve">Growth marketing spend scales with revenue performance.</t>
  </si>
  <si>
    <t xml:space="preserve">Admin &amp; Legal (₦/month)</t>
  </si>
  <si>
    <t xml:space="preserve">Contingency (% of OpEx)</t>
  </si>
  <si>
    <t xml:space="preserve">Buffer for unplanned costs — standard for early-stage startups.</t>
  </si>
  <si>
    <t xml:space="preserve">Revenue Model — Monthly Build</t>
  </si>
  <si>
    <t xml:space="preserve">All cells below are formulas driven by the Assumptions tab. Do not type over black cells.</t>
  </si>
  <si>
    <t xml:space="preserve">Aug-26</t>
  </si>
  <si>
    <t xml:space="preserve">Sep-26</t>
  </si>
  <si>
    <t xml:space="preserve">Oct-26</t>
  </si>
  <si>
    <t xml:space="preserve">Nov-26</t>
  </si>
  <si>
    <t xml:space="preserve">Dec-26</t>
  </si>
  <si>
    <t xml:space="preserve">Jan-27</t>
  </si>
  <si>
    <t xml:space="preserve">Feb-27</t>
  </si>
  <si>
    <t xml:space="preserve">Mar-27</t>
  </si>
  <si>
    <t xml:space="preserve">Apr-27</t>
  </si>
  <si>
    <t xml:space="preserve">May-27</t>
  </si>
  <si>
    <t xml:space="preserve">Jun-27</t>
  </si>
  <si>
    <t xml:space="preserve">Jul-27</t>
  </si>
  <si>
    <t xml:space="preserve">New Downloads</t>
  </si>
  <si>
    <t xml:space="preserve">Cumulative App Users (all-time downloads)</t>
  </si>
  <si>
    <t xml:space="preserve">New Premium Subscribers</t>
  </si>
  <si>
    <t xml:space="preserve">Active Premium Subscribers</t>
  </si>
  <si>
    <t xml:space="preserve">Premium Revenue ($)</t>
  </si>
  <si>
    <t xml:space="preserve">New Schools Added</t>
  </si>
  <si>
    <t xml:space="preserve">Active Schools</t>
  </si>
  <si>
    <t xml:space="preserve">School Platform Revenue ($)</t>
  </si>
  <si>
    <t xml:space="preserve">Assessments Sold</t>
  </si>
  <si>
    <t xml:space="preserve">Assessment Revenue ($)</t>
  </si>
  <si>
    <t xml:space="preserve">Grant / Partnership Revenue ($)</t>
  </si>
  <si>
    <t xml:space="preserve">TOTAL REVENUE ($)</t>
  </si>
  <si>
    <t xml:space="preserve">Operating Expenses — Monthly Build</t>
  </si>
  <si>
    <t xml:space="preserve">Salaries step up quarterly; Tech scales with users; Marketing scales with revenue.</t>
  </si>
  <si>
    <t xml:space="preserve">Core Team Salaries ($)</t>
  </si>
  <si>
    <t xml:space="preserve">Tech &amp; Hosting ($)</t>
  </si>
  <si>
    <t xml:space="preserve">Marketing ($)</t>
  </si>
  <si>
    <t xml:space="preserve">Admin &amp; Legal ($)</t>
  </si>
  <si>
    <t xml:space="preserve">Subtotal Before Contingency ($)</t>
  </si>
  <si>
    <t xml:space="preserve">Contingency ($)</t>
  </si>
  <si>
    <t xml:space="preserve">TOTAL OPERATING EXPENSES ($)</t>
  </si>
  <si>
    <t xml:space="preserve">Cash Flow — Monthly Build</t>
  </si>
  <si>
    <t xml:space="preserve">Tracks beginning/ending cash and estimates runway at the current burn rate.</t>
  </si>
  <si>
    <t xml:space="preserve">Beginning Cash ($)</t>
  </si>
  <si>
    <t xml:space="preserve">Cash In — Total Revenue ($)</t>
  </si>
  <si>
    <t xml:space="preserve">Cash Out — Total OpEx ($)</t>
  </si>
  <si>
    <t xml:space="preserve">Net Cash Flow ($)</t>
  </si>
  <si>
    <t xml:space="preserve">ENDING CASH BALANCE ($)</t>
  </si>
  <si>
    <t xml:space="preserve">RUNWAY &amp; FUNDING NEED (based on the first 6 months' average burn)</t>
  </si>
  <si>
    <t xml:space="preserve">Average Monthly Net Cash Flow — First 6 Months ($)</t>
  </si>
  <si>
    <t xml:space="preserve">Estimated Runway from Day 1 (Starting Cash / Avg Burn)</t>
  </si>
  <si>
    <t xml:space="preserve">Minimum Cash Point in Year 1 ($)</t>
  </si>
  <si>
    <t xml:space="preserve">Additional Funding Needed to Stay Cash-Positive All Year ($)</t>
  </si>
  <si>
    <t xml:space="preserve">Profit &amp; Loss Summary</t>
  </si>
  <si>
    <t xml:space="preserve">Presentation-ready income statement — every figure links back to Revenue Model / OpEx.</t>
  </si>
  <si>
    <t xml:space="preserve">FY Total</t>
  </si>
  <si>
    <t xml:space="preserve">REVENUE</t>
  </si>
  <si>
    <t xml:space="preserve">Parent App — Premium Subscriptions</t>
  </si>
  <si>
    <t xml:space="preserve">School Platform</t>
  </si>
  <si>
    <t xml:space="preserve">Assessments</t>
  </si>
  <si>
    <t xml:space="preserve">Grants &amp; Partnerships</t>
  </si>
  <si>
    <t xml:space="preserve">TOTAL REVENUE</t>
  </si>
  <si>
    <t xml:space="preserve">Core Team Salaries</t>
  </si>
  <si>
    <t xml:space="preserve">Tech &amp; Hosting</t>
  </si>
  <si>
    <t xml:space="preserve">Marketing</t>
  </si>
  <si>
    <t xml:space="preserve">Admin &amp; Legal</t>
  </si>
  <si>
    <t xml:space="preserve">Contingency</t>
  </si>
  <si>
    <t xml:space="preserve">TOTAL OPERATING EXPENSES</t>
  </si>
  <si>
    <t xml:space="preserve">NET OPERATING RESULT ($)</t>
  </si>
  <si>
    <t xml:space="preserve">Net Margin (%)</t>
  </si>
  <si>
    <t xml:space="preserve">Scenario Analysis — Conservative / Base / Optimistic</t>
  </si>
  <si>
    <t xml:space="preserve">Re-runs the same engine as Revenue Model / OpEx / Cash Flow three times, using the Conservative / Base / Optimistic columns from Assumptions. This is the quantitative "range of outcomes" view, not a single-point guess.</t>
  </si>
  <si>
    <t xml:space="preserve">CONSERVATIVE CASE</t>
  </si>
  <si>
    <t xml:space="preserve">Cumulative App Users</t>
  </si>
  <si>
    <t xml:space="preserve">Premium Revenue (₦)</t>
  </si>
  <si>
    <t xml:space="preserve">School Revenue (₦)</t>
  </si>
  <si>
    <t xml:space="preserve">Assessment Revenue (₦)</t>
  </si>
  <si>
    <t xml:space="preserve">Grant Revenue (₦)</t>
  </si>
  <si>
    <t xml:space="preserve">TOTAL REVENUE (₦)</t>
  </si>
  <si>
    <t xml:space="preserve">TOTAL OPEX (₦)</t>
  </si>
  <si>
    <t xml:space="preserve">Net Cash Flow (₦)</t>
  </si>
  <si>
    <t xml:space="preserve">Ending Cash Balance (₦)</t>
  </si>
  <si>
    <t xml:space="preserve">  (helper) Monthly Salaries (₦)</t>
  </si>
  <si>
    <t xml:space="preserve">BASE CASE</t>
  </si>
  <si>
    <t xml:space="preserve">OPTIMISTIC CASE</t>
  </si>
  <si>
    <t xml:space="preserve">SCENARIO SUMMARY — FULL YEAR (Aug 2026 – Jul 2027)</t>
  </si>
  <si>
    <t xml:space="preserve">Minimum Cash Point (₦)</t>
  </si>
</sst>
</file>

<file path=xl/styles.xml><?xml version="1.0" encoding="utf-8"?>
<styleSheet xmlns="http://schemas.openxmlformats.org/spreadsheetml/2006/main">
  <numFmts count="7">
    <numFmt numFmtId="164" formatCode="General"/>
    <numFmt numFmtId="165" formatCode="\₦#,##0;&quot;(₦&quot;#,##0\);\-"/>
    <numFmt numFmtId="166" formatCode="0.0&quot; mo&quot;"/>
    <numFmt numFmtId="167" formatCode="#,##0;\(#,##0\);\-"/>
    <numFmt numFmtId="168" formatCode="0.0%;\(0.0%\);\-"/>
    <numFmt numFmtId="169" formatCode="\₦#,##0.00;&quot;(₦&quot;#,##0.00\);\-"/>
    <numFmt numFmtId="170" formatCode="0.0&quot; months&quot;"/>
  </numFmts>
  <fonts count="19">
    <font>
      <sz val="11"/>
      <color theme="1"/>
      <name val="Calibri"/>
      <family val="2"/>
      <charset val="1"/>
    </font>
    <font>
      <sz val="10"/>
      <name val="Arial"/>
      <family val="0"/>
    </font>
    <font>
      <sz val="10"/>
      <name val="Arial"/>
      <family val="0"/>
    </font>
    <font>
      <sz val="10"/>
      <name val="Arial"/>
      <family val="0"/>
    </font>
    <font>
      <b val="true"/>
      <sz val="16"/>
      <color rgb="FFFFFFFF"/>
      <name val="Arial"/>
      <family val="0"/>
      <charset val="1"/>
    </font>
    <font>
      <i val="true"/>
      <sz val="10"/>
      <color rgb="FF7F7F7F"/>
      <name val="Arial"/>
      <family val="0"/>
      <charset val="1"/>
    </font>
    <font>
      <b val="true"/>
      <sz val="11"/>
      <color rgb="FFFFFFFF"/>
      <name val="Arial"/>
      <family val="0"/>
      <charset val="1"/>
    </font>
    <font>
      <sz val="10"/>
      <color rgb="FF000000"/>
      <name val="Arial"/>
      <family val="0"/>
      <charset val="1"/>
    </font>
    <font>
      <sz val="10"/>
      <color rgb="FF0000FF"/>
      <name val="Arial"/>
      <family val="0"/>
      <charset val="1"/>
    </font>
    <font>
      <sz val="10"/>
      <color rgb="FF008000"/>
      <name val="Arial"/>
      <family val="0"/>
      <charset val="1"/>
    </font>
    <font>
      <b val="true"/>
      <sz val="10"/>
      <color rgb="FF000000"/>
      <name val="Arial"/>
      <family val="0"/>
      <charset val="1"/>
    </font>
    <font>
      <i val="true"/>
      <sz val="10"/>
      <color rgb="FFC00000"/>
      <name val="Arial"/>
      <family val="0"/>
      <charset val="1"/>
    </font>
    <font>
      <b val="true"/>
      <sz val="9"/>
      <color rgb="FFFFFFFF"/>
      <name val="Arial"/>
      <family val="0"/>
      <charset val="1"/>
    </font>
    <font>
      <b val="true"/>
      <sz val="13"/>
      <color rgb="FF1F3864"/>
      <name val="Arial"/>
      <family val="0"/>
      <charset val="1"/>
    </font>
    <font>
      <b val="true"/>
      <sz val="10"/>
      <color rgb="FFFFFFFF"/>
      <name val="Arial"/>
      <family val="0"/>
      <charset val="1"/>
    </font>
    <font>
      <b val="true"/>
      <sz val="18"/>
      <color rgb="FF000000"/>
      <name val="Calibri"/>
      <family val="2"/>
    </font>
    <font>
      <sz val="10"/>
      <color rgb="FF000000"/>
      <name val="Calibri"/>
      <family val="2"/>
    </font>
    <font>
      <b val="true"/>
      <sz val="10"/>
      <color rgb="FF000000"/>
      <name val="Calibri"/>
      <family val="2"/>
    </font>
    <font>
      <i val="true"/>
      <sz val="9"/>
      <color rgb="FF7F7F7F"/>
      <name val="Arial"/>
      <family val="0"/>
      <charset val="1"/>
    </font>
  </fonts>
  <fills count="7">
    <fill>
      <patternFill patternType="none"/>
    </fill>
    <fill>
      <patternFill patternType="gray125"/>
    </fill>
    <fill>
      <patternFill patternType="solid">
        <fgColor rgb="FF1F3864"/>
        <bgColor rgb="FF333333"/>
      </patternFill>
    </fill>
    <fill>
      <patternFill patternType="solid">
        <fgColor rgb="FF0E7C7B"/>
        <bgColor rgb="FF008080"/>
      </patternFill>
    </fill>
    <fill>
      <patternFill patternType="solid">
        <fgColor rgb="FFFFFF00"/>
        <bgColor rgb="FFFFFF00"/>
      </patternFill>
    </fill>
    <fill>
      <patternFill patternType="solid">
        <fgColor rgb="FFDCE6F1"/>
        <bgColor rgb="FFD9D9D9"/>
      </patternFill>
    </fill>
    <fill>
      <patternFill patternType="solid">
        <fgColor rgb="FF6B8E23"/>
        <bgColor rgb="FF7F7F7F"/>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left" vertical="center" textRotation="0" wrapText="false" indent="1" shrinkToFit="false"/>
      <protection locked="true" hidden="false"/>
    </xf>
    <xf numFmtId="164" fontId="5" fillId="0" borderId="0" xfId="0" applyFont="true" applyBorder="true" applyAlignment="true" applyProtection="false">
      <alignment horizontal="left" vertical="bottom" textRotation="0" wrapText="false" indent="1" shrinkToFit="false"/>
      <protection locked="true" hidden="false"/>
    </xf>
    <xf numFmtId="164" fontId="6" fillId="3" borderId="0" xfId="0" applyFont="true" applyBorder="true" applyAlignment="fals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8" fillId="4" borderId="1" xfId="0" applyFont="true" applyBorder="true" applyAlignment="false" applyProtection="false">
      <alignment horizontal="general" vertical="bottom" textRotation="0" wrapText="false" indent="0" shrinkToFit="false"/>
      <protection locked="true" hidden="false"/>
    </xf>
    <xf numFmtId="164" fontId="7" fillId="0" borderId="0" xfId="0" applyFont="tru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4" fontId="9" fillId="0" borderId="1" xfId="0" applyFont="true" applyBorder="true" applyAlignment="false" applyProtection="false">
      <alignment horizontal="general" vertical="bottom" textRotation="0" wrapText="false" indent="0" shrinkToFit="false"/>
      <protection locked="true" hidden="false"/>
    </xf>
    <xf numFmtId="164" fontId="10" fillId="5" borderId="1" xfId="0" applyFont="true" applyBorder="true" applyAlignment="false" applyProtection="false">
      <alignment horizontal="general" vertical="bottom" textRotation="0" wrapText="false" indent="0" shrinkToFit="false"/>
      <protection locked="true" hidden="false"/>
    </xf>
    <xf numFmtId="164" fontId="11" fillId="0" borderId="0" xfId="0" applyFont="true" applyBorder="true" applyAlignment="true" applyProtection="false">
      <alignment horizontal="general" vertical="top" textRotation="0" wrapText="true" indent="0" shrinkToFit="false"/>
      <protection locked="true" hidden="false"/>
    </xf>
    <xf numFmtId="164" fontId="12" fillId="3" borderId="0" xfId="0" applyFont="true" applyBorder="true" applyAlignment="true" applyProtection="false">
      <alignment horizontal="center" vertical="bottom" textRotation="0" wrapText="false" indent="0" shrinkToFit="false"/>
      <protection locked="true" hidden="false"/>
    </xf>
    <xf numFmtId="165" fontId="13" fillId="5" borderId="0" xfId="0" applyFont="true" applyBorder="true" applyAlignment="true" applyProtection="false">
      <alignment horizontal="center" vertical="bottom" textRotation="0" wrapText="false" indent="0" shrinkToFit="false"/>
      <protection locked="true" hidden="false"/>
    </xf>
    <xf numFmtId="166" fontId="13" fillId="5" borderId="0" xfId="0" applyFont="true" applyBorder="true" applyAlignment="true" applyProtection="false">
      <alignment horizontal="center" vertical="bottom" textRotation="0" wrapText="false" indent="0" shrinkToFit="false"/>
      <protection locked="true" hidden="false"/>
    </xf>
    <xf numFmtId="164" fontId="14" fillId="2" borderId="1" xfId="0" applyFont="true" applyBorder="true" applyAlignment="true" applyProtection="false">
      <alignment horizontal="center" vertical="bottom" textRotation="0" wrapText="false" indent="0" shrinkToFit="false"/>
      <protection locked="true" hidden="false"/>
    </xf>
    <xf numFmtId="165" fontId="7" fillId="0" borderId="1" xfId="0" applyFont="true" applyBorder="true" applyAlignment="true" applyProtection="false">
      <alignment horizontal="right" vertical="bottom" textRotation="0" wrapText="false" indent="0" shrinkToFit="false"/>
      <protection locked="true" hidden="false"/>
    </xf>
    <xf numFmtId="166" fontId="7" fillId="0" borderId="1" xfId="0" applyFont="true" applyBorder="true" applyAlignment="true" applyProtection="false">
      <alignment horizontal="right"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6" fillId="3" borderId="0" xfId="0" applyFont="true" applyBorder="true" applyAlignment="true" applyProtection="false">
      <alignment horizontal="left" vertical="center" textRotation="0" wrapText="false" indent="1" shrinkToFit="false"/>
      <protection locked="true" hidden="false"/>
    </xf>
    <xf numFmtId="164" fontId="8" fillId="4" borderId="1" xfId="0" applyFont="true" applyBorder="true" applyAlignment="true" applyProtection="false">
      <alignment horizontal="center" vertical="bottom" textRotation="0" wrapText="false" indent="0" shrinkToFit="false"/>
      <protection locked="true" hidden="false"/>
    </xf>
    <xf numFmtId="165" fontId="8" fillId="4" borderId="1" xfId="0" applyFont="true" applyBorder="true" applyAlignment="true" applyProtection="false">
      <alignment horizontal="center" vertical="bottom" textRotation="0" wrapText="false" indent="0" shrinkToFit="false"/>
      <protection locked="true" hidden="false"/>
    </xf>
    <xf numFmtId="164" fontId="18" fillId="0" borderId="0" xfId="0" applyFont="true" applyBorder="false" applyAlignment="true" applyProtection="false">
      <alignment horizontal="general" vertical="center" textRotation="0" wrapText="true" indent="0" shrinkToFit="false"/>
      <protection locked="true" hidden="false"/>
    </xf>
    <xf numFmtId="167" fontId="8" fillId="4" borderId="1" xfId="0" applyFont="true" applyBorder="true" applyAlignment="true" applyProtection="false">
      <alignment horizontal="center" vertical="bottom" textRotation="0" wrapText="false" indent="0" shrinkToFit="false"/>
      <protection locked="true" hidden="false"/>
    </xf>
    <xf numFmtId="168" fontId="8" fillId="4" borderId="1" xfId="0" applyFont="true" applyBorder="true" applyAlignment="true" applyProtection="false">
      <alignment horizontal="center" vertical="bottom" textRotation="0" wrapText="false" indent="0" shrinkToFit="false"/>
      <protection locked="true" hidden="false"/>
    </xf>
    <xf numFmtId="169" fontId="8" fillId="4" borderId="1" xfId="0" applyFont="true" applyBorder="true" applyAlignment="true" applyProtection="false">
      <alignment horizontal="center" vertical="bottom" textRotation="0" wrapText="false" indent="0" shrinkToFit="false"/>
      <protection locked="true" hidden="false"/>
    </xf>
    <xf numFmtId="167" fontId="7" fillId="0" borderId="1" xfId="0" applyFont="true" applyBorder="true" applyAlignment="true" applyProtection="false">
      <alignment horizontal="right" vertical="bottom" textRotation="0" wrapText="false" indent="0" shrinkToFit="false"/>
      <protection locked="true" hidden="false"/>
    </xf>
    <xf numFmtId="164" fontId="10" fillId="0" borderId="1" xfId="0" applyFont="true" applyBorder="true" applyAlignment="false" applyProtection="false">
      <alignment horizontal="general" vertical="bottom" textRotation="0" wrapText="false" indent="0" shrinkToFit="false"/>
      <protection locked="true" hidden="false"/>
    </xf>
    <xf numFmtId="165" fontId="10" fillId="5" borderId="1" xfId="0" applyFont="true" applyBorder="true" applyAlignment="true" applyProtection="false">
      <alignment horizontal="right" vertical="bottom" textRotation="0" wrapText="false" indent="0" shrinkToFit="false"/>
      <protection locked="true" hidden="false"/>
    </xf>
    <xf numFmtId="165" fontId="9" fillId="0" borderId="1" xfId="0" applyFont="true" applyBorder="true" applyAlignment="true" applyProtection="false">
      <alignment horizontal="right" vertical="bottom" textRotation="0" wrapText="false" indent="0" shrinkToFit="false"/>
      <protection locked="true" hidden="false"/>
    </xf>
    <xf numFmtId="165" fontId="10" fillId="0" borderId="1" xfId="0" applyFont="true" applyBorder="true" applyAlignment="true" applyProtection="false">
      <alignment horizontal="right" vertical="bottom" textRotation="0" wrapText="false" indent="0" shrinkToFit="false"/>
      <protection locked="true" hidden="false"/>
    </xf>
    <xf numFmtId="170" fontId="10" fillId="5" borderId="1" xfId="0" applyFont="true" applyBorder="true" applyAlignment="true" applyProtection="false">
      <alignment horizontal="center" vertical="bottom" textRotation="0" wrapText="false" indent="0" shrinkToFit="false"/>
      <protection locked="true" hidden="false"/>
    </xf>
    <xf numFmtId="165" fontId="10" fillId="5" borderId="1" xfId="0" applyFont="true" applyBorder="true" applyAlignment="true" applyProtection="false">
      <alignment horizontal="center" vertical="bottom" textRotation="0" wrapText="false" indent="0" shrinkToFit="false"/>
      <protection locked="true" hidden="false"/>
    </xf>
    <xf numFmtId="168" fontId="7" fillId="0" borderId="1" xfId="0" applyFont="true" applyBorder="true" applyAlignment="true" applyProtection="false">
      <alignment horizontal="right" vertical="bottom" textRotation="0" wrapText="false" indent="0" shrinkToFit="false"/>
      <protection locked="true" hidden="false"/>
    </xf>
    <xf numFmtId="164" fontId="6" fillId="2" borderId="0" xfId="0" applyFont="true" applyBorder="true" applyAlignment="true" applyProtection="false">
      <alignment horizontal="left" vertical="center" textRotation="0" wrapText="false" indent="1" shrinkToFit="false"/>
      <protection locked="true" hidden="false"/>
    </xf>
    <xf numFmtId="164" fontId="6" fillId="6" borderId="0" xfId="0" applyFont="true" applyBorder="true" applyAlignment="true" applyProtection="false">
      <alignment horizontal="left" vertical="center" textRotation="0" wrapText="false" indent="1" shrinkToFit="false"/>
      <protection locked="true" hidden="false"/>
    </xf>
    <xf numFmtId="166" fontId="10" fillId="5" borderId="1" xfId="0" applyFont="true" applyBorder="true" applyAlignment="true" applyProtection="false">
      <alignment horizontal="right"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C00000"/>
      <rgbColor rgb="FF00FF00"/>
      <rgbColor rgb="FF0000FF"/>
      <rgbColor rgb="FFFFFF00"/>
      <rgbColor rgb="FFFF00FF"/>
      <rgbColor rgb="FF00FFFF"/>
      <rgbColor rgb="FF800000"/>
      <rgbColor rgb="FF008000"/>
      <rgbColor rgb="FF000080"/>
      <rgbColor rgb="FF6B8E23"/>
      <rgbColor rgb="FF800080"/>
      <rgbColor rgb="FF0E7C7B"/>
      <rgbColor rgb="FFBFBFBF"/>
      <rgbColor rgb="FF7F7F7F"/>
      <rgbColor rgb="FF9999FF"/>
      <rgbColor rgb="FFBE4B48"/>
      <rgbColor rgb="FFFFFFCC"/>
      <rgbColor rgb="FFDCE6F1"/>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BBB59"/>
      <rgbColor rgb="FFFF99CC"/>
      <rgbColor rgb="FFCC99FF"/>
      <rgbColor rgb="FFFFCC99"/>
      <rgbColor rgb="FF4A7EBB"/>
      <rgbColor rgb="FF4BACC6"/>
      <rgbColor rgb="FF98B855"/>
      <rgbColor rgb="FFFFCC00"/>
      <rgbColor rgb="FFFF9900"/>
      <rgbColor rgb="FFFF6600"/>
      <rgbColor rgb="FF8064A2"/>
      <rgbColor rgb="FF878787"/>
      <rgbColor rgb="FF1F3864"/>
      <rgbColor rgb="FF4F81BD"/>
      <rgbColor rgb="FF003300"/>
      <rgbColor rgb="FF333300"/>
      <rgbColor rgb="FF993300"/>
      <rgbColor rgb="FFC0504D"/>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Revenue vs. OpEx by Month (₦)</a:t>
            </a:r>
          </a:p>
        </c:rich>
      </c:tx>
      <c:overlay val="0"/>
      <c:spPr>
        <a:noFill/>
        <a:ln w="0">
          <a:noFill/>
        </a:ln>
      </c:spPr>
    </c:title>
    <c:autoTitleDeleted val="0"/>
    <c:plotArea>
      <c:lineChart>
        <c:grouping val="standard"/>
        <c:varyColors val="0"/>
        <c:ser>
          <c:idx val="0"/>
          <c:order val="0"/>
          <c:tx>
            <c:strRef>
              <c:f>'P&amp;L Summary'!A10</c:f>
              <c:strCache>
                <c:ptCount val="1"/>
                <c:pt idx="0">
                  <c:v>TOTAL REVENUE</c:v>
                </c:pt>
              </c:strCache>
            </c:strRef>
          </c:tx>
          <c:spPr>
            <a:solidFill>
              <a:srgbClr val="4a7ebb"/>
            </a:solidFill>
            <a:ln w="28440">
              <a:solidFill>
                <a:srgbClr val="4a7ebb"/>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'P&amp;L Summary'!$B$3:$M$3</c:f>
              <c:strCache>
                <c:ptCount val="12"/>
                <c:pt idx="0">
                  <c:v>Aug-26</c:v>
                </c:pt>
                <c:pt idx="1">
                  <c:v>Sep-26</c:v>
                </c:pt>
                <c:pt idx="2">
                  <c:v>Oct-26</c:v>
                </c:pt>
                <c:pt idx="3">
                  <c:v>Nov-26</c:v>
                </c:pt>
                <c:pt idx="4">
                  <c:v>Dec-26</c:v>
                </c:pt>
                <c:pt idx="5">
                  <c:v>Jan-27</c:v>
                </c:pt>
                <c:pt idx="6">
                  <c:v>Feb-27</c:v>
                </c:pt>
                <c:pt idx="7">
                  <c:v>Mar-27</c:v>
                </c:pt>
                <c:pt idx="8">
                  <c:v>Apr-27</c:v>
                </c:pt>
                <c:pt idx="9">
                  <c:v>May-27</c:v>
                </c:pt>
                <c:pt idx="10">
                  <c:v>Jun-27</c:v>
                </c:pt>
                <c:pt idx="11">
                  <c:v>Jul-27</c:v>
                </c:pt>
              </c:strCache>
            </c:strRef>
          </c:cat>
          <c:val>
            <c:numRef>
              <c:f>'P&amp;L Summary'!$B$10:$M$10</c:f>
              <c:numCache>
                <c:formatCode>\₦#,##0;"(₦"#,##0\);\-</c:formatCode>
                <c:ptCount val="12"/>
                <c:pt idx="0">
                  <c:v>1605000</c:v>
                </c:pt>
                <c:pt idx="1">
                  <c:v>2272950</c:v>
                </c:pt>
                <c:pt idx="2">
                  <c:v>25446406.5</c:v>
                </c:pt>
                <c:pt idx="3">
                  <c:v>3626429.175</c:v>
                </c:pt>
                <c:pt idx="4">
                  <c:v>4314144.61305</c:v>
                </c:pt>
                <c:pt idx="5">
                  <c:v>27510752.0099295</c:v>
                </c:pt>
                <c:pt idx="6">
                  <c:v>5717529.29427647</c:v>
                </c:pt>
                <c:pt idx="7">
                  <c:v>6435839.71796193</c:v>
                </c:pt>
                <c:pt idx="8">
                  <c:v>29667138.9492442</c:v>
                </c:pt>
                <c:pt idx="9">
                  <c:v>7912982.70919344</c:v>
                </c:pt>
                <c:pt idx="10">
                  <c:v>8675034.99507198</c:v>
                </c:pt>
                <c:pt idx="11">
                  <c:v>31955076.9378034</c:v>
                </c:pt>
              </c:numCache>
            </c:numRef>
          </c:val>
          <c:smooth val="1"/>
        </c:ser>
        <c:ser>
          <c:idx val="1"/>
          <c:order val="1"/>
          <c:tx>
            <c:strRef>
              <c:f>'P&amp;L Summary'!A18</c:f>
              <c:strCache>
                <c:ptCount val="1"/>
                <c:pt idx="0">
                  <c:v>TOTAL OPERATING EXPENSES</c:v>
                </c:pt>
              </c:strCache>
            </c:strRef>
          </c:tx>
          <c:spPr>
            <a:solidFill>
              <a:srgbClr val="be4b48"/>
            </a:solidFill>
            <a:ln w="28440">
              <a:solidFill>
                <a:srgbClr val="be4b48"/>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'P&amp;L Summary'!$B$3:$M$3</c:f>
              <c:strCache>
                <c:ptCount val="12"/>
                <c:pt idx="0">
                  <c:v>Aug-26</c:v>
                </c:pt>
                <c:pt idx="1">
                  <c:v>Sep-26</c:v>
                </c:pt>
                <c:pt idx="2">
                  <c:v>Oct-26</c:v>
                </c:pt>
                <c:pt idx="3">
                  <c:v>Nov-26</c:v>
                </c:pt>
                <c:pt idx="4">
                  <c:v>Dec-26</c:v>
                </c:pt>
                <c:pt idx="5">
                  <c:v>Jan-27</c:v>
                </c:pt>
                <c:pt idx="6">
                  <c:v>Feb-27</c:v>
                </c:pt>
                <c:pt idx="7">
                  <c:v>Mar-27</c:v>
                </c:pt>
                <c:pt idx="8">
                  <c:v>Apr-27</c:v>
                </c:pt>
                <c:pt idx="9">
                  <c:v>May-27</c:v>
                </c:pt>
                <c:pt idx="10">
                  <c:v>Jun-27</c:v>
                </c:pt>
                <c:pt idx="11">
                  <c:v>Jul-27</c:v>
                </c:pt>
              </c:strCache>
            </c:strRef>
          </c:cat>
          <c:val>
            <c:numRef>
              <c:f>'P&amp;L Summary'!$B$18:$M$18</c:f>
              <c:numCache>
                <c:formatCode>\₦#,##0;"(₦"#,##0\);\-</c:formatCode>
                <c:ptCount val="12"/>
                <c:pt idx="0">
                  <c:v>24295320</c:v>
                </c:pt>
                <c:pt idx="1">
                  <c:v>24419467.8</c:v>
                </c:pt>
                <c:pt idx="2">
                  <c:v>26439521.346</c:v>
                </c:pt>
                <c:pt idx="3">
                  <c:v>25253005.1067</c:v>
                </c:pt>
                <c:pt idx="4">
                  <c:v>25396484.0079762</c:v>
                </c:pt>
                <c:pt idx="5">
                  <c:v>27437566.6981525</c:v>
                </c:pt>
                <c:pt idx="6">
                  <c:v>26290919.0723831</c:v>
                </c:pt>
                <c:pt idx="7">
                  <c:v>26459228.0769058</c:v>
                </c:pt>
                <c:pt idx="8">
                  <c:v>28527265.8155813</c:v>
                </c:pt>
                <c:pt idx="9">
                  <c:v>27427384.2829246</c:v>
                </c:pt>
                <c:pt idx="10">
                  <c:v>27627408.9497666</c:v>
                </c:pt>
                <c:pt idx="11">
                  <c:v>29729825.7297704</c:v>
                </c:pt>
              </c:numCache>
            </c:numRef>
          </c:val>
          <c:smooth val="1"/>
        </c:ser>
        <c:hiLowLines>
          <c:spPr>
            <a:ln w="0">
              <a:noFill/>
            </a:ln>
          </c:spPr>
        </c:hiLowLines>
        <c:marker val="0"/>
        <c:axId val="62497849"/>
        <c:axId val="94983919"/>
      </c:lineChart>
      <c:catAx>
        <c:axId val="62497849"/>
        <c:scaling>
          <c:orientation val="minMax"/>
        </c:scaling>
        <c:delete val="0"/>
        <c:axPos val="b"/>
        <c:title>
          <c:tx>
            <c:rich>
              <a:bodyPr rot="0"/>
              <a:lstStyle/>
              <a:p>
                <a:pPr>
                  <a:defRPr b="1" sz="1000" spc="-1" strike="noStrike">
                    <a:solidFill>
                      <a:srgbClr val="000000"/>
                    </a:solidFill>
                    <a:latin typeface="Calibri"/>
                  </a:defRPr>
                </a:pPr>
                <a:r>
                  <a:rPr b="1" sz="1000" spc="-1" strike="noStrike">
                    <a:solidFill>
                      <a:srgbClr val="000000"/>
                    </a:solidFill>
                    <a:latin typeface="Calibri"/>
                  </a:rPr>
                  <a:t>Month</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94983919"/>
        <c:crosses val="autoZero"/>
        <c:auto val="1"/>
        <c:lblAlgn val="ctr"/>
        <c:lblOffset val="100"/>
        <c:noMultiLvlLbl val="0"/>
      </c:catAx>
      <c:valAx>
        <c:axId val="94983919"/>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 (NGN)</a:t>
                </a:r>
              </a:p>
            </c:rich>
          </c:tx>
          <c:overlay val="0"/>
          <c:spPr>
            <a:noFill/>
            <a:ln w="0">
              <a:noFill/>
            </a:ln>
          </c:spPr>
        </c:title>
        <c:numFmt formatCode="\₦#,##0;&quot;(₦&quot;#,##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62497849"/>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Revenue Mix by Month (₦)</a:t>
            </a:r>
          </a:p>
        </c:rich>
      </c:tx>
      <c:overlay val="0"/>
      <c:spPr>
        <a:noFill/>
        <a:ln w="0">
          <a:noFill/>
        </a:ln>
      </c:spPr>
    </c:title>
    <c:autoTitleDeleted val="0"/>
    <c:plotArea>
      <c:barChart>
        <c:barDir val="col"/>
        <c:grouping val="stacked"/>
        <c:varyColors val="0"/>
        <c:ser>
          <c:idx val="0"/>
          <c:order val="0"/>
          <c:tx>
            <c:strRef>
              <c:f>'P&amp;L Summary'!A6</c:f>
              <c:strCache>
                <c:ptCount val="1"/>
                <c:pt idx="0">
                  <c:v>Parent App — Premium Subscriptions</c:v>
                </c:pt>
              </c:strCache>
            </c:strRef>
          </c:tx>
          <c:spPr>
            <a:solidFill>
              <a:srgbClr val="4f81bd"/>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'P&amp;L Summary'!$B$3:$M$3</c:f>
              <c:strCache>
                <c:ptCount val="12"/>
                <c:pt idx="0">
                  <c:v>Aug-26</c:v>
                </c:pt>
                <c:pt idx="1">
                  <c:v>Sep-26</c:v>
                </c:pt>
                <c:pt idx="2">
                  <c:v>Oct-26</c:v>
                </c:pt>
                <c:pt idx="3">
                  <c:v>Nov-26</c:v>
                </c:pt>
                <c:pt idx="4">
                  <c:v>Dec-26</c:v>
                </c:pt>
                <c:pt idx="5">
                  <c:v>Jan-27</c:v>
                </c:pt>
                <c:pt idx="6">
                  <c:v>Feb-27</c:v>
                </c:pt>
                <c:pt idx="7">
                  <c:v>Mar-27</c:v>
                </c:pt>
                <c:pt idx="8">
                  <c:v>Apr-27</c:v>
                </c:pt>
                <c:pt idx="9">
                  <c:v>May-27</c:v>
                </c:pt>
                <c:pt idx="10">
                  <c:v>Jun-27</c:v>
                </c:pt>
                <c:pt idx="11">
                  <c:v>Jul-27</c:v>
                </c:pt>
              </c:strCache>
            </c:strRef>
          </c:cat>
          <c:val>
            <c:numRef>
              <c:f>'P&amp;L Summary'!$B$6:$M$6</c:f>
              <c:numCache>
                <c:formatCode>\₦#,##0;"(₦"#,##0\);\-</c:formatCode>
                <c:ptCount val="12"/>
                <c:pt idx="0">
                  <c:v>180000</c:v>
                </c:pt>
                <c:pt idx="1">
                  <c:v>367200</c:v>
                </c:pt>
                <c:pt idx="2">
                  <c:v>562464</c:v>
                </c:pt>
                <c:pt idx="3">
                  <c:v>766713.6</c:v>
                </c:pt>
                <c:pt idx="4">
                  <c:v>980933.0688</c:v>
                </c:pt>
                <c:pt idx="5">
                  <c:v>1206174.799872</c:v>
                </c:pt>
                <c:pt idx="6">
                  <c:v>1443565.18600704</c:v>
                </c:pt>
                <c:pt idx="7">
                  <c:v>1694310.94694707</c:v>
                </c:pt>
                <c:pt idx="8">
                  <c:v>1959705.94691993</c:v>
                </c:pt>
                <c:pt idx="9">
                  <c:v>2241138.54192193</c:v>
                </c:pt>
                <c:pt idx="10">
                  <c:v>2540099.49975415</c:v>
                </c:pt>
                <c:pt idx="11">
                  <c:v>2858190.53923382</c:v>
                </c:pt>
              </c:numCache>
            </c:numRef>
          </c:val>
        </c:ser>
        <c:ser>
          <c:idx val="1"/>
          <c:order val="1"/>
          <c:tx>
            <c:strRef>
              <c:f>'P&amp;L Summary'!A7</c:f>
              <c:strCache>
                <c:ptCount val="1"/>
                <c:pt idx="0">
                  <c:v>School Platform</c:v>
                </c:pt>
              </c:strCache>
            </c:strRef>
          </c:tx>
          <c:spPr>
            <a:solidFill>
              <a:srgbClr val="c0504d"/>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'P&amp;L Summary'!$B$3:$M$3</c:f>
              <c:strCache>
                <c:ptCount val="12"/>
                <c:pt idx="0">
                  <c:v>Aug-26</c:v>
                </c:pt>
                <c:pt idx="1">
                  <c:v>Sep-26</c:v>
                </c:pt>
                <c:pt idx="2">
                  <c:v>Oct-26</c:v>
                </c:pt>
                <c:pt idx="3">
                  <c:v>Nov-26</c:v>
                </c:pt>
                <c:pt idx="4">
                  <c:v>Dec-26</c:v>
                </c:pt>
                <c:pt idx="5">
                  <c:v>Jan-27</c:v>
                </c:pt>
                <c:pt idx="6">
                  <c:v>Feb-27</c:v>
                </c:pt>
                <c:pt idx="7">
                  <c:v>Mar-27</c:v>
                </c:pt>
                <c:pt idx="8">
                  <c:v>Apr-27</c:v>
                </c:pt>
                <c:pt idx="9">
                  <c:v>May-27</c:v>
                </c:pt>
                <c:pt idx="10">
                  <c:v>Jun-27</c:v>
                </c:pt>
                <c:pt idx="11">
                  <c:v>Jul-27</c:v>
                </c:pt>
              </c:strCache>
            </c:strRef>
          </c:cat>
          <c:val>
            <c:numRef>
              <c:f>'P&amp;L Summary'!$B$7:$M$7</c:f>
              <c:numCache>
                <c:formatCode>\₦#,##0;"(₦"#,##0\);\-</c:formatCode>
                <c:ptCount val="12"/>
                <c:pt idx="0">
                  <c:v>675000</c:v>
                </c:pt>
                <c:pt idx="1">
                  <c:v>1118250</c:v>
                </c:pt>
                <c:pt idx="2">
                  <c:v>1557067.5</c:v>
                </c:pt>
                <c:pt idx="3">
                  <c:v>1991496.825</c:v>
                </c:pt>
                <c:pt idx="4">
                  <c:v>2421581.85675</c:v>
                </c:pt>
                <c:pt idx="5">
                  <c:v>2847366.0381825</c:v>
                </c:pt>
                <c:pt idx="6">
                  <c:v>3268892.37780067</c:v>
                </c:pt>
                <c:pt idx="7">
                  <c:v>3686203.45402267</c:v>
                </c:pt>
                <c:pt idx="8">
                  <c:v>4099341.41948244</c:v>
                </c:pt>
                <c:pt idx="9">
                  <c:v>4508348.00528762</c:v>
                </c:pt>
                <c:pt idx="10">
                  <c:v>4913264.52523474</c:v>
                </c:pt>
                <c:pt idx="11">
                  <c:v>5314131.87998239</c:v>
                </c:pt>
              </c:numCache>
            </c:numRef>
          </c:val>
        </c:ser>
        <c:ser>
          <c:idx val="2"/>
          <c:order val="2"/>
          <c:tx>
            <c:strRef>
              <c:f>'P&amp;L Summary'!A8</c:f>
              <c:strCache>
                <c:ptCount val="1"/>
                <c:pt idx="0">
                  <c:v>Assessments</c:v>
                </c:pt>
              </c:strCache>
            </c:strRef>
          </c:tx>
          <c:spPr>
            <a:solidFill>
              <a:srgbClr val="9bbb59"/>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'P&amp;L Summary'!$B$3:$M$3</c:f>
              <c:strCache>
                <c:ptCount val="12"/>
                <c:pt idx="0">
                  <c:v>Aug-26</c:v>
                </c:pt>
                <c:pt idx="1">
                  <c:v>Sep-26</c:v>
                </c:pt>
                <c:pt idx="2">
                  <c:v>Oct-26</c:v>
                </c:pt>
                <c:pt idx="3">
                  <c:v>Nov-26</c:v>
                </c:pt>
                <c:pt idx="4">
                  <c:v>Dec-26</c:v>
                </c:pt>
                <c:pt idx="5">
                  <c:v>Jan-27</c:v>
                </c:pt>
                <c:pt idx="6">
                  <c:v>Feb-27</c:v>
                </c:pt>
                <c:pt idx="7">
                  <c:v>Mar-27</c:v>
                </c:pt>
                <c:pt idx="8">
                  <c:v>Apr-27</c:v>
                </c:pt>
                <c:pt idx="9">
                  <c:v>May-27</c:v>
                </c:pt>
                <c:pt idx="10">
                  <c:v>Jun-27</c:v>
                </c:pt>
                <c:pt idx="11">
                  <c:v>Jul-27</c:v>
                </c:pt>
              </c:strCache>
            </c:strRef>
          </c:cat>
          <c:val>
            <c:numRef>
              <c:f>'P&amp;L Summary'!$B$8:$M$8</c:f>
              <c:numCache>
                <c:formatCode>\₦#,##0;"(₦"#,##0\);\-</c:formatCode>
                <c:ptCount val="12"/>
                <c:pt idx="0">
                  <c:v>750000</c:v>
                </c:pt>
                <c:pt idx="1">
                  <c:v>787500</c:v>
                </c:pt>
                <c:pt idx="2">
                  <c:v>826875</c:v>
                </c:pt>
                <c:pt idx="3">
                  <c:v>868218.75</c:v>
                </c:pt>
                <c:pt idx="4">
                  <c:v>911629.6875</c:v>
                </c:pt>
                <c:pt idx="5">
                  <c:v>957211.171875</c:v>
                </c:pt>
                <c:pt idx="6">
                  <c:v>1005071.73046875</c:v>
                </c:pt>
                <c:pt idx="7">
                  <c:v>1055325.31699219</c:v>
                </c:pt>
                <c:pt idx="8">
                  <c:v>1108091.5828418</c:v>
                </c:pt>
                <c:pt idx="9">
                  <c:v>1163496.16198389</c:v>
                </c:pt>
                <c:pt idx="10">
                  <c:v>1221670.97008308</c:v>
                </c:pt>
                <c:pt idx="11">
                  <c:v>1282754.51858724</c:v>
                </c:pt>
              </c:numCache>
            </c:numRef>
          </c:val>
        </c:ser>
        <c:ser>
          <c:idx val="3"/>
          <c:order val="3"/>
          <c:tx>
            <c:strRef>
              <c:f>'P&amp;L Summary'!A9</c:f>
              <c:strCache>
                <c:ptCount val="1"/>
                <c:pt idx="0">
                  <c:v>Grants &amp; Partnerships</c:v>
                </c:pt>
              </c:strCache>
            </c:strRef>
          </c:tx>
          <c:spPr>
            <a:solidFill>
              <a:srgbClr val="8064a2"/>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'P&amp;L Summary'!$B$3:$M$3</c:f>
              <c:strCache>
                <c:ptCount val="12"/>
                <c:pt idx="0">
                  <c:v>Aug-26</c:v>
                </c:pt>
                <c:pt idx="1">
                  <c:v>Sep-26</c:v>
                </c:pt>
                <c:pt idx="2">
                  <c:v>Oct-26</c:v>
                </c:pt>
                <c:pt idx="3">
                  <c:v>Nov-26</c:v>
                </c:pt>
                <c:pt idx="4">
                  <c:v>Dec-26</c:v>
                </c:pt>
                <c:pt idx="5">
                  <c:v>Jan-27</c:v>
                </c:pt>
                <c:pt idx="6">
                  <c:v>Feb-27</c:v>
                </c:pt>
                <c:pt idx="7">
                  <c:v>Mar-27</c:v>
                </c:pt>
                <c:pt idx="8">
                  <c:v>Apr-27</c:v>
                </c:pt>
                <c:pt idx="9">
                  <c:v>May-27</c:v>
                </c:pt>
                <c:pt idx="10">
                  <c:v>Jun-27</c:v>
                </c:pt>
                <c:pt idx="11">
                  <c:v>Jul-27</c:v>
                </c:pt>
              </c:strCache>
            </c:strRef>
          </c:cat>
          <c:val>
            <c:numRef>
              <c:f>'P&amp;L Summary'!$B$9:$M$9</c:f>
              <c:numCache>
                <c:formatCode>\₦#,##0;"(₦"#,##0\);\-</c:formatCode>
                <c:ptCount val="12"/>
                <c:pt idx="0">
                  <c:v>0</c:v>
                </c:pt>
                <c:pt idx="1">
                  <c:v>0</c:v>
                </c:pt>
                <c:pt idx="2">
                  <c:v>22500000</c:v>
                </c:pt>
                <c:pt idx="3">
                  <c:v>0</c:v>
                </c:pt>
                <c:pt idx="4">
                  <c:v>0</c:v>
                </c:pt>
                <c:pt idx="5">
                  <c:v>22500000</c:v>
                </c:pt>
                <c:pt idx="6">
                  <c:v>0</c:v>
                </c:pt>
                <c:pt idx="7">
                  <c:v>0</c:v>
                </c:pt>
                <c:pt idx="8">
                  <c:v>22500000</c:v>
                </c:pt>
                <c:pt idx="9">
                  <c:v>0</c:v>
                </c:pt>
                <c:pt idx="10">
                  <c:v>0</c:v>
                </c:pt>
                <c:pt idx="11">
                  <c:v>22500000</c:v>
                </c:pt>
              </c:numCache>
            </c:numRef>
          </c:val>
        </c:ser>
        <c:gapWidth val="150"/>
        <c:overlap val="100"/>
        <c:axId val="1019182"/>
        <c:axId val="78685202"/>
      </c:barChart>
      <c:catAx>
        <c:axId val="1019182"/>
        <c:scaling>
          <c:orientation val="minMax"/>
        </c:scaling>
        <c:delete val="0"/>
        <c:axPos val="b"/>
        <c:title>
          <c:tx>
            <c:rich>
              <a:bodyPr rot="0"/>
              <a:lstStyle/>
              <a:p>
                <a:pPr>
                  <a:defRPr b="1" sz="1000" spc="-1" strike="noStrike">
                    <a:solidFill>
                      <a:srgbClr val="000000"/>
                    </a:solidFill>
                    <a:latin typeface="Calibri"/>
                  </a:defRPr>
                </a:pPr>
                <a:r>
                  <a:rPr b="1" sz="1000" spc="-1" strike="noStrike">
                    <a:solidFill>
                      <a:srgbClr val="000000"/>
                    </a:solidFill>
                    <a:latin typeface="Calibri"/>
                  </a:rPr>
                  <a:t>Month</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78685202"/>
        <c:crosses val="autoZero"/>
        <c:auto val="1"/>
        <c:lblAlgn val="ctr"/>
        <c:lblOffset val="100"/>
        <c:noMultiLvlLbl val="0"/>
      </c:catAx>
      <c:valAx>
        <c:axId val="78685202"/>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 (NGN)</a:t>
                </a:r>
              </a:p>
            </c:rich>
          </c:tx>
          <c:overlay val="0"/>
          <c:spPr>
            <a:noFill/>
            <a:ln w="0">
              <a:noFill/>
            </a:ln>
          </c:spPr>
        </c:title>
        <c:numFmt formatCode="\₦#,##0;&quot;(₦&quot;#,##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1019182"/>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Full-Year OpEx Breakdown</a:t>
            </a:r>
          </a:p>
        </c:rich>
      </c:tx>
      <c:overlay val="0"/>
      <c:spPr>
        <a:noFill/>
        <a:ln w="0">
          <a:noFill/>
        </a:ln>
      </c:spPr>
    </c:title>
    <c:autoTitleDeleted val="0"/>
    <c:plotArea>
      <c:pieChart>
        <c:varyColors val="1"/>
        <c:ser>
          <c:idx val="0"/>
          <c:order val="0"/>
          <c:spPr>
            <a:solidFill>
              <a:srgbClr val="4f81bd"/>
            </a:solidFill>
            <a:ln w="0">
              <a:noFill/>
            </a:ln>
          </c:spPr>
          <c:explosion val="0"/>
          <c:dPt>
            <c:idx val="0"/>
            <c:spPr>
              <a:solidFill>
                <a:srgbClr val="4f81bd"/>
              </a:solidFill>
              <a:ln w="0">
                <a:noFill/>
              </a:ln>
            </c:spPr>
          </c:dPt>
          <c:dPt>
            <c:idx val="1"/>
            <c:spPr>
              <a:solidFill>
                <a:srgbClr val="c0504d"/>
              </a:solidFill>
              <a:ln w="0">
                <a:noFill/>
              </a:ln>
            </c:spPr>
          </c:dPt>
          <c:dPt>
            <c:idx val="2"/>
            <c:spPr>
              <a:solidFill>
                <a:srgbClr val="9bbb59"/>
              </a:solidFill>
              <a:ln w="0">
                <a:noFill/>
              </a:ln>
            </c:spPr>
          </c:dPt>
          <c:dPt>
            <c:idx val="3"/>
            <c:spPr>
              <a:solidFill>
                <a:srgbClr val="8064a2"/>
              </a:solidFill>
              <a:ln w="0">
                <a:noFill/>
              </a:ln>
            </c:spPr>
          </c:dPt>
          <c:dPt>
            <c:idx val="4"/>
            <c:spPr>
              <a:solidFill>
                <a:srgbClr val="4bacc6"/>
              </a:solidFill>
              <a:ln w="0">
                <a:noFill/>
              </a:ln>
            </c:spPr>
          </c:dPt>
          <c:dLbls>
            <c:dLbl>
              <c:idx val="0"/>
              <c:txPr>
                <a:bodyPr wrap="square"/>
                <a:lstStyle/>
                <a:p>
                  <a:pPr>
                    <a:defRPr b="0" sz="1000" spc="-1" strike="noStrike">
                      <a:solidFill>
                        <a:srgbClr val="000000"/>
                      </a:solidFill>
                      <a:latin typeface="Calibri"/>
                    </a:defRPr>
                  </a:pPr>
                </a:p>
              </c:txPr>
              <c:dLblPos val="bestFit"/>
              <c:showLegendKey val="0"/>
              <c:showVal val="0"/>
              <c:showCatName val="0"/>
              <c:showSerName val="0"/>
              <c:showPercent val="1"/>
              <c:separator>
</c:separator>
            </c:dLbl>
            <c:dLbl>
              <c:idx val="1"/>
              <c:txPr>
                <a:bodyPr wrap="square"/>
                <a:lstStyle/>
                <a:p>
                  <a:pPr>
                    <a:defRPr b="0" sz="1000" spc="-1" strike="noStrike">
                      <a:solidFill>
                        <a:srgbClr val="000000"/>
                      </a:solidFill>
                      <a:latin typeface="Calibri"/>
                    </a:defRPr>
                  </a:pPr>
                </a:p>
              </c:txPr>
              <c:dLblPos val="bestFit"/>
              <c:showLegendKey val="0"/>
              <c:showVal val="0"/>
              <c:showCatName val="0"/>
              <c:showSerName val="0"/>
              <c:showPercent val="1"/>
              <c:separator>
</c:separator>
            </c:dLbl>
            <c:dLbl>
              <c:idx val="2"/>
              <c:txPr>
                <a:bodyPr wrap="square"/>
                <a:lstStyle/>
                <a:p>
                  <a:pPr>
                    <a:defRPr b="0" sz="1000" spc="-1" strike="noStrike">
                      <a:solidFill>
                        <a:srgbClr val="000000"/>
                      </a:solidFill>
                      <a:latin typeface="Calibri"/>
                    </a:defRPr>
                  </a:pPr>
                </a:p>
              </c:txPr>
              <c:dLblPos val="bestFit"/>
              <c:showLegendKey val="0"/>
              <c:showVal val="0"/>
              <c:showCatName val="0"/>
              <c:showSerName val="0"/>
              <c:showPercent val="1"/>
              <c:separator>
</c:separator>
            </c:dLbl>
            <c:dLbl>
              <c:idx val="3"/>
              <c:txPr>
                <a:bodyPr wrap="square"/>
                <a:lstStyle/>
                <a:p>
                  <a:pPr>
                    <a:defRPr b="0" sz="1000" spc="-1" strike="noStrike">
                      <a:solidFill>
                        <a:srgbClr val="000000"/>
                      </a:solidFill>
                      <a:latin typeface="Calibri"/>
                    </a:defRPr>
                  </a:pPr>
                </a:p>
              </c:txPr>
              <c:dLblPos val="bestFit"/>
              <c:showLegendKey val="0"/>
              <c:showVal val="0"/>
              <c:showCatName val="0"/>
              <c:showSerName val="0"/>
              <c:showPercent val="1"/>
              <c:separator>
</c:separator>
            </c:dLbl>
            <c:dLbl>
              <c:idx val="4"/>
              <c:txPr>
                <a:bodyPr wrap="square"/>
                <a:lstStyle/>
                <a:p>
                  <a:pPr>
                    <a:defRPr b="0" sz="1000" spc="-1" strike="noStrike">
                      <a:solidFill>
                        <a:srgbClr val="000000"/>
                      </a:solidFill>
                      <a:latin typeface="Calibri"/>
                    </a:defRPr>
                  </a:pPr>
                </a:p>
              </c:txPr>
              <c:dLblPos val="bestFit"/>
              <c:showLegendKey val="0"/>
              <c:showVal val="0"/>
              <c:showCatName val="0"/>
              <c:showSerName val="0"/>
              <c:showPercent val="1"/>
              <c:separator>
</c:separator>
            </c:dLbl>
            <c:txPr>
              <a:bodyPr wrap="square"/>
              <a:lstStyle/>
              <a:p>
                <a:pPr>
                  <a:defRPr b="0" sz="1000" spc="-1" strike="noStrike">
                    <a:solidFill>
                      <a:srgbClr val="000000"/>
                    </a:solidFill>
                    <a:latin typeface="Calibri"/>
                  </a:defRPr>
                </a:pPr>
              </a:p>
            </c:txPr>
            <c:dLblPos val="bestFit"/>
            <c:showLegendKey val="0"/>
            <c:showVal val="0"/>
            <c:showCatName val="0"/>
            <c:showSerName val="0"/>
            <c:showPercent val="1"/>
            <c:separator>
</c:separator>
            <c:showLeaderLines val="1"/>
          </c:dLbls>
          <c:cat>
            <c:strRef>
              <c:f>'P&amp;L Summary'!$A$13:$A$17</c:f>
              <c:strCache>
                <c:ptCount val="5"/>
                <c:pt idx="0">
                  <c:v>Core Team Salaries</c:v>
                </c:pt>
                <c:pt idx="1">
                  <c:v>Tech &amp; Hosting</c:v>
                </c:pt>
                <c:pt idx="2">
                  <c:v>Marketing</c:v>
                </c:pt>
                <c:pt idx="3">
                  <c:v>Admin &amp; Legal</c:v>
                </c:pt>
                <c:pt idx="4">
                  <c:v>Contingency</c:v>
                </c:pt>
              </c:strCache>
            </c:strRef>
          </c:cat>
          <c:val>
            <c:numRef>
              <c:f>'P&amp;L Summary'!$N$13:$N$17</c:f>
              <c:numCache>
                <c:formatCode>\₦#,##0;"(₦"#,##0\);\-</c:formatCode>
                <c:ptCount val="5"/>
                <c:pt idx="0">
                  <c:v>225915858</c:v>
                </c:pt>
                <c:pt idx="1">
                  <c:v>33371472.4327922</c:v>
                </c:pt>
                <c:pt idx="2">
                  <c:v>30411142.7921225</c:v>
                </c:pt>
                <c:pt idx="3">
                  <c:v>14400000</c:v>
                </c:pt>
                <c:pt idx="4">
                  <c:v>15204923.6612457</c:v>
                </c:pt>
              </c:numCache>
            </c:numRef>
          </c:val>
        </c:ser>
        <c:firstSliceAng val="0"/>
      </c:pieChart>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4.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Ending Cash Balance by Month (₦) — Base Case</a:t>
            </a:r>
          </a:p>
        </c:rich>
      </c:tx>
      <c:overlay val="0"/>
      <c:spPr>
        <a:noFill/>
        <a:ln w="0">
          <a:noFill/>
        </a:ln>
      </c:spPr>
    </c:title>
    <c:autoTitleDeleted val="0"/>
    <c:plotArea>
      <c:lineChart>
        <c:grouping val="standard"/>
        <c:varyColors val="0"/>
        <c:ser>
          <c:idx val="0"/>
          <c:order val="0"/>
          <c:tx>
            <c:strRef>
              <c:f>'Cash Flow'!A10</c:f>
              <c:strCache>
                <c:ptCount val="1"/>
                <c:pt idx="0">
                  <c:v>ENDING CASH BALANCE ($)</c:v>
                </c:pt>
              </c:strCache>
            </c:strRef>
          </c:tx>
          <c:spPr>
            <a:solidFill>
              <a:srgbClr val="4a7ebb"/>
            </a:solidFill>
            <a:ln w="28440">
              <a:solidFill>
                <a:srgbClr val="4a7ebb"/>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'Cash Flow'!$B$3:$M$3</c:f>
              <c:strCache>
                <c:ptCount val="12"/>
                <c:pt idx="0">
                  <c:v>Aug-26</c:v>
                </c:pt>
                <c:pt idx="1">
                  <c:v>Sep-26</c:v>
                </c:pt>
                <c:pt idx="2">
                  <c:v>Oct-26</c:v>
                </c:pt>
                <c:pt idx="3">
                  <c:v>Nov-26</c:v>
                </c:pt>
                <c:pt idx="4">
                  <c:v>Dec-26</c:v>
                </c:pt>
                <c:pt idx="5">
                  <c:v>Jan-27</c:v>
                </c:pt>
                <c:pt idx="6">
                  <c:v>Feb-27</c:v>
                </c:pt>
                <c:pt idx="7">
                  <c:v>Mar-27</c:v>
                </c:pt>
                <c:pt idx="8">
                  <c:v>Apr-27</c:v>
                </c:pt>
                <c:pt idx="9">
                  <c:v>May-27</c:v>
                </c:pt>
                <c:pt idx="10">
                  <c:v>Jun-27</c:v>
                </c:pt>
                <c:pt idx="11">
                  <c:v>Jul-27</c:v>
                </c:pt>
              </c:strCache>
            </c:strRef>
          </c:cat>
          <c:val>
            <c:numRef>
              <c:f>'Cash Flow'!$B$10:$M$10</c:f>
              <c:numCache>
                <c:formatCode>\₦#,##0;"(₦"#,##0\);\-</c:formatCode>
                <c:ptCount val="12"/>
                <c:pt idx="0">
                  <c:v>52309680</c:v>
                </c:pt>
                <c:pt idx="1">
                  <c:v>30163162.2</c:v>
                </c:pt>
                <c:pt idx="2">
                  <c:v>29170047.354</c:v>
                </c:pt>
                <c:pt idx="3">
                  <c:v>7543471.4223</c:v>
                </c:pt>
                <c:pt idx="4">
                  <c:v>-13538867.9726262</c:v>
                </c:pt>
                <c:pt idx="5">
                  <c:v>-13465682.6608492</c:v>
                </c:pt>
                <c:pt idx="6">
                  <c:v>-34039072.4389558</c:v>
                </c:pt>
                <c:pt idx="7">
                  <c:v>-54062460.7978997</c:v>
                </c:pt>
                <c:pt idx="8">
                  <c:v>-52922587.6642368</c:v>
                </c:pt>
                <c:pt idx="9">
                  <c:v>-72436989.2379679</c:v>
                </c:pt>
                <c:pt idx="10">
                  <c:v>-91389363.1926625</c:v>
                </c:pt>
                <c:pt idx="11">
                  <c:v>-89164111.9846294</c:v>
                </c:pt>
              </c:numCache>
            </c:numRef>
          </c:val>
          <c:smooth val="1"/>
        </c:ser>
        <c:hiLowLines>
          <c:spPr>
            <a:ln w="0">
              <a:noFill/>
            </a:ln>
          </c:spPr>
        </c:hiLowLines>
        <c:marker val="0"/>
        <c:axId val="65523711"/>
        <c:axId val="66918901"/>
      </c:lineChart>
      <c:catAx>
        <c:axId val="65523711"/>
        <c:scaling>
          <c:orientation val="minMax"/>
        </c:scaling>
        <c:delete val="0"/>
        <c:axPos val="b"/>
        <c:title>
          <c:tx>
            <c:rich>
              <a:bodyPr rot="0"/>
              <a:lstStyle/>
              <a:p>
                <a:pPr>
                  <a:defRPr b="1" sz="1000" spc="-1" strike="noStrike">
                    <a:solidFill>
                      <a:srgbClr val="000000"/>
                    </a:solidFill>
                    <a:latin typeface="Calibri"/>
                  </a:defRPr>
                </a:pPr>
                <a:r>
                  <a:rPr b="1" sz="1000" spc="-1" strike="noStrike">
                    <a:solidFill>
                      <a:srgbClr val="000000"/>
                    </a:solidFill>
                    <a:latin typeface="Calibri"/>
                  </a:rPr>
                  <a:t>Month</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66918901"/>
        <c:crosses val="autoZero"/>
        <c:auto val="1"/>
        <c:lblAlgn val="ctr"/>
        <c:lblOffset val="100"/>
        <c:noMultiLvlLbl val="0"/>
      </c:catAx>
      <c:valAx>
        <c:axId val="66918901"/>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 (NGN)</a:t>
                </a:r>
              </a:p>
            </c:rich>
          </c:tx>
          <c:overlay val="0"/>
          <c:spPr>
            <a:noFill/>
            <a:ln w="0">
              <a:noFill/>
            </a:ln>
          </c:spPr>
        </c:title>
        <c:numFmt formatCode="\₦#,##0;&quot;(₦&quot;#,##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65523711"/>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5.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Cash Trajectory — Conservative vs. Base vs. Optimistic (₦)</a:t>
            </a:r>
          </a:p>
        </c:rich>
      </c:tx>
      <c:overlay val="0"/>
      <c:spPr>
        <a:noFill/>
        <a:ln w="0">
          <a:noFill/>
        </a:ln>
      </c:spPr>
    </c:title>
    <c:autoTitleDeleted val="0"/>
    <c:plotArea>
      <c:lineChart>
        <c:grouping val="standard"/>
        <c:varyColors val="0"/>
        <c:ser>
          <c:idx val="0"/>
          <c:order val="0"/>
          <c:tx>
            <c:strRef>
              <c:f>'Scenario Analysis'!A17</c:f>
              <c:strCache>
                <c:ptCount val="1"/>
                <c:pt idx="0">
                  <c:v>Ending Cash Balance (₦)</c:v>
                </c:pt>
              </c:strCache>
            </c:strRef>
          </c:tx>
          <c:spPr>
            <a:solidFill>
              <a:srgbClr val="4a7ebb"/>
            </a:solidFill>
            <a:ln w="28440">
              <a:solidFill>
                <a:srgbClr val="4a7ebb"/>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'Scenario Analysis'!$B$5:$M$5</c:f>
              <c:strCache>
                <c:ptCount val="12"/>
                <c:pt idx="0">
                  <c:v>Aug-26</c:v>
                </c:pt>
                <c:pt idx="1">
                  <c:v>Sep-26</c:v>
                </c:pt>
                <c:pt idx="2">
                  <c:v>Oct-26</c:v>
                </c:pt>
                <c:pt idx="3">
                  <c:v>Nov-26</c:v>
                </c:pt>
                <c:pt idx="4">
                  <c:v>Dec-26</c:v>
                </c:pt>
                <c:pt idx="5">
                  <c:v>Jan-27</c:v>
                </c:pt>
                <c:pt idx="6">
                  <c:v>Feb-27</c:v>
                </c:pt>
                <c:pt idx="7">
                  <c:v>Mar-27</c:v>
                </c:pt>
                <c:pt idx="8">
                  <c:v>Apr-27</c:v>
                </c:pt>
                <c:pt idx="9">
                  <c:v>May-27</c:v>
                </c:pt>
                <c:pt idx="10">
                  <c:v>Jun-27</c:v>
                </c:pt>
                <c:pt idx="11">
                  <c:v>Jul-27</c:v>
                </c:pt>
              </c:strCache>
            </c:strRef>
          </c:cat>
          <c:val>
            <c:numRef>
              <c:f>'Scenario Analysis'!$B$17:$M$17</c:f>
              <c:numCache>
                <c:formatCode>\₦#,##0;"(₦"#,##0\);\-</c:formatCode>
                <c:ptCount val="12"/>
                <c:pt idx="0">
                  <c:v>52243728</c:v>
                </c:pt>
                <c:pt idx="1">
                  <c:v>29726359.44</c:v>
                </c:pt>
                <c:pt idx="2">
                  <c:v>7439972.0784</c:v>
                </c:pt>
                <c:pt idx="3">
                  <c:v>-15190111.458912</c:v>
                </c:pt>
                <c:pt idx="4">
                  <c:v>-37604338.7297376</c:v>
                </c:pt>
                <c:pt idx="5">
                  <c:v>-59809941.8328183</c:v>
                </c:pt>
                <c:pt idx="6">
                  <c:v>-82397961.1176162</c:v>
                </c:pt>
                <c:pt idx="7">
                  <c:v>-104791228.290565</c:v>
                </c:pt>
                <c:pt idx="8">
                  <c:v>-126996408.95938</c:v>
                </c:pt>
                <c:pt idx="9">
                  <c:v>-149621534.954797</c:v>
                </c:pt>
                <c:pt idx="10">
                  <c:v>-172071424.96707</c:v>
                </c:pt>
                <c:pt idx="11">
                  <c:v>-194352286.53261</c:v>
                </c:pt>
              </c:numCache>
            </c:numRef>
          </c:val>
          <c:smooth val="1"/>
        </c:ser>
        <c:ser>
          <c:idx val="1"/>
          <c:order val="1"/>
          <c:tx>
            <c:strRef>
              <c:f>'Scenario Analysis'!A34</c:f>
              <c:strCache>
                <c:ptCount val="1"/>
                <c:pt idx="0">
                  <c:v>Ending Cash Balance (₦)</c:v>
                </c:pt>
              </c:strCache>
            </c:strRef>
          </c:tx>
          <c:spPr>
            <a:solidFill>
              <a:srgbClr val="be4b48"/>
            </a:solidFill>
            <a:ln w="28440">
              <a:solidFill>
                <a:srgbClr val="be4b48"/>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'Scenario Analysis'!$B$5:$M$5</c:f>
              <c:strCache>
                <c:ptCount val="12"/>
                <c:pt idx="0">
                  <c:v>Aug-26</c:v>
                </c:pt>
                <c:pt idx="1">
                  <c:v>Sep-26</c:v>
                </c:pt>
                <c:pt idx="2">
                  <c:v>Oct-26</c:v>
                </c:pt>
                <c:pt idx="3">
                  <c:v>Nov-26</c:v>
                </c:pt>
                <c:pt idx="4">
                  <c:v>Dec-26</c:v>
                </c:pt>
                <c:pt idx="5">
                  <c:v>Jan-27</c:v>
                </c:pt>
                <c:pt idx="6">
                  <c:v>Feb-27</c:v>
                </c:pt>
                <c:pt idx="7">
                  <c:v>Mar-27</c:v>
                </c:pt>
                <c:pt idx="8">
                  <c:v>Apr-27</c:v>
                </c:pt>
                <c:pt idx="9">
                  <c:v>May-27</c:v>
                </c:pt>
                <c:pt idx="10">
                  <c:v>Jun-27</c:v>
                </c:pt>
                <c:pt idx="11">
                  <c:v>Jul-27</c:v>
                </c:pt>
              </c:strCache>
            </c:strRef>
          </c:cat>
          <c:val>
            <c:numRef>
              <c:f>'Scenario Analysis'!$B$34:$M$34</c:f>
              <c:numCache>
                <c:formatCode>\₦#,##0;"(₦"#,##0\);\-</c:formatCode>
                <c:ptCount val="12"/>
                <c:pt idx="0">
                  <c:v>52309680</c:v>
                </c:pt>
                <c:pt idx="1">
                  <c:v>30163162.2</c:v>
                </c:pt>
                <c:pt idx="2">
                  <c:v>29170047.354</c:v>
                </c:pt>
                <c:pt idx="3">
                  <c:v>7543471.4223</c:v>
                </c:pt>
                <c:pt idx="4">
                  <c:v>-13538867.9726262</c:v>
                </c:pt>
                <c:pt idx="5">
                  <c:v>-13465682.6608492</c:v>
                </c:pt>
                <c:pt idx="6">
                  <c:v>-34039072.4389558</c:v>
                </c:pt>
                <c:pt idx="7">
                  <c:v>-54062460.7978997</c:v>
                </c:pt>
                <c:pt idx="8">
                  <c:v>-52922587.6642368</c:v>
                </c:pt>
                <c:pt idx="9">
                  <c:v>-72436989.2379679</c:v>
                </c:pt>
                <c:pt idx="10">
                  <c:v>-91389363.1926625</c:v>
                </c:pt>
                <c:pt idx="11">
                  <c:v>-89164111.9846295</c:v>
                </c:pt>
              </c:numCache>
            </c:numRef>
          </c:val>
          <c:smooth val="1"/>
        </c:ser>
        <c:ser>
          <c:idx val="2"/>
          <c:order val="2"/>
          <c:tx>
            <c:strRef>
              <c:f>'Scenario Analysis'!A51</c:f>
              <c:strCache>
                <c:ptCount val="1"/>
                <c:pt idx="0">
                  <c:v>Ending Cash Balance (₦)</c:v>
                </c:pt>
              </c:strCache>
            </c:strRef>
          </c:tx>
          <c:spPr>
            <a:solidFill>
              <a:srgbClr val="98b855"/>
            </a:solidFill>
            <a:ln w="28440">
              <a:solidFill>
                <a:srgbClr val="98b855"/>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'Scenario Analysis'!$B$5:$M$5</c:f>
              <c:strCache>
                <c:ptCount val="12"/>
                <c:pt idx="0">
                  <c:v>Aug-26</c:v>
                </c:pt>
                <c:pt idx="1">
                  <c:v>Sep-26</c:v>
                </c:pt>
                <c:pt idx="2">
                  <c:v>Oct-26</c:v>
                </c:pt>
                <c:pt idx="3">
                  <c:v>Nov-26</c:v>
                </c:pt>
                <c:pt idx="4">
                  <c:v>Dec-26</c:v>
                </c:pt>
                <c:pt idx="5">
                  <c:v>Jan-27</c:v>
                </c:pt>
                <c:pt idx="6">
                  <c:v>Feb-27</c:v>
                </c:pt>
                <c:pt idx="7">
                  <c:v>Mar-27</c:v>
                </c:pt>
                <c:pt idx="8">
                  <c:v>Apr-27</c:v>
                </c:pt>
                <c:pt idx="9">
                  <c:v>May-27</c:v>
                </c:pt>
                <c:pt idx="10">
                  <c:v>Jun-27</c:v>
                </c:pt>
                <c:pt idx="11">
                  <c:v>Jul-27</c:v>
                </c:pt>
              </c:strCache>
            </c:strRef>
          </c:cat>
          <c:val>
            <c:numRef>
              <c:f>'Scenario Analysis'!$B$51:$M$51</c:f>
              <c:numCache>
                <c:formatCode>\₦#,##0;"(₦"#,##0\);\-</c:formatCode>
                <c:ptCount val="12"/>
                <c:pt idx="0">
                  <c:v>52375632</c:v>
                </c:pt>
                <c:pt idx="1">
                  <c:v>30602479.38</c:v>
                </c:pt>
                <c:pt idx="2">
                  <c:v>37176871.3119</c:v>
                </c:pt>
                <c:pt idx="3">
                  <c:v>16590506.6178765</c:v>
                </c:pt>
                <c:pt idx="4">
                  <c:v>-3088283.90936096</c:v>
                </c:pt>
                <c:pt idx="5">
                  <c:v>5644755.35751404</c:v>
                </c:pt>
                <c:pt idx="6">
                  <c:v>-12726878.1419202</c:v>
                </c:pt>
                <c:pt idx="7">
                  <c:v>-30108050.0735969</c:v>
                </c:pt>
                <c:pt idx="8">
                  <c:v>-18983611.5597678</c:v>
                </c:pt>
                <c:pt idx="9">
                  <c:v>-34875464.2732644</c:v>
                </c:pt>
                <c:pt idx="10">
                  <c:v>-49657461.1957994</c:v>
                </c:pt>
                <c:pt idx="11">
                  <c:v>-35799429.8010198</c:v>
                </c:pt>
              </c:numCache>
            </c:numRef>
          </c:val>
          <c:smooth val="1"/>
        </c:ser>
        <c:hiLowLines>
          <c:spPr>
            <a:ln w="0">
              <a:noFill/>
            </a:ln>
          </c:spPr>
        </c:hiLowLines>
        <c:marker val="0"/>
        <c:axId val="23500053"/>
        <c:axId val="68180031"/>
      </c:lineChart>
      <c:catAx>
        <c:axId val="23500053"/>
        <c:scaling>
          <c:orientation val="minMax"/>
        </c:scaling>
        <c:delete val="0"/>
        <c:axPos val="b"/>
        <c:title>
          <c:tx>
            <c:rich>
              <a:bodyPr rot="0"/>
              <a:lstStyle/>
              <a:p>
                <a:pPr>
                  <a:defRPr b="1" sz="1000" spc="-1" strike="noStrike">
                    <a:solidFill>
                      <a:srgbClr val="000000"/>
                    </a:solidFill>
                    <a:latin typeface="Calibri"/>
                  </a:defRPr>
                </a:pPr>
                <a:r>
                  <a:rPr b="1" sz="1000" spc="-1" strike="noStrike">
                    <a:solidFill>
                      <a:srgbClr val="000000"/>
                    </a:solidFill>
                    <a:latin typeface="Calibri"/>
                  </a:rPr>
                  <a:t>Month</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68180031"/>
        <c:crosses val="autoZero"/>
        <c:auto val="1"/>
        <c:lblAlgn val="ctr"/>
        <c:lblOffset val="100"/>
        <c:noMultiLvlLbl val="0"/>
      </c:catAx>
      <c:valAx>
        <c:axId val="68180031"/>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 (NGN)</a:t>
                </a:r>
              </a:p>
            </c:rich>
          </c:tx>
          <c:overlay val="0"/>
          <c:spPr>
            <a:noFill/>
            <a:ln w="0">
              <a:noFill/>
            </a:ln>
          </c:spPr>
        </c:title>
        <c:numFmt formatCode="\₦#,##0;&quot;(₦&quot;#,##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23500053"/>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 Id="rId5" Type="http://schemas.openxmlformats.org/officeDocument/2006/relationships/chart" Target="../charts/chart5.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8</xdr:row>
      <xdr:rowOff>0</xdr:rowOff>
    </xdr:from>
    <xdr:to>
      <xdr:col>7</xdr:col>
      <xdr:colOff>339840</xdr:colOff>
      <xdr:row>24</xdr:row>
      <xdr:rowOff>11520</xdr:rowOff>
    </xdr:to>
    <xdr:graphicFrame>
      <xdr:nvGraphicFramePr>
        <xdr:cNvPr id="0" name="Chart 1"/>
        <xdr:cNvGraphicFramePr/>
      </xdr:nvGraphicFramePr>
      <xdr:xfrm>
        <a:off x="0" y="1743120"/>
        <a:ext cx="6119640" cy="305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0</xdr:colOff>
      <xdr:row>8</xdr:row>
      <xdr:rowOff>0</xdr:rowOff>
    </xdr:from>
    <xdr:to>
      <xdr:col>13</xdr:col>
      <xdr:colOff>621720</xdr:colOff>
      <xdr:row>24</xdr:row>
      <xdr:rowOff>11520</xdr:rowOff>
    </xdr:to>
    <xdr:graphicFrame>
      <xdr:nvGraphicFramePr>
        <xdr:cNvPr id="1" name="Chart 2"/>
        <xdr:cNvGraphicFramePr/>
      </xdr:nvGraphicFramePr>
      <xdr:xfrm>
        <a:off x="5779800" y="1743120"/>
        <a:ext cx="6119640" cy="30596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0</xdr:colOff>
      <xdr:row>26</xdr:row>
      <xdr:rowOff>0</xdr:rowOff>
    </xdr:from>
    <xdr:to>
      <xdr:col>4</xdr:col>
      <xdr:colOff>568800</xdr:colOff>
      <xdr:row>42</xdr:row>
      <xdr:rowOff>11520</xdr:rowOff>
    </xdr:to>
    <xdr:graphicFrame>
      <xdr:nvGraphicFramePr>
        <xdr:cNvPr id="2" name="Chart 3"/>
        <xdr:cNvGraphicFramePr/>
      </xdr:nvGraphicFramePr>
      <xdr:xfrm>
        <a:off x="0" y="5172120"/>
        <a:ext cx="3599640" cy="305964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5</xdr:col>
      <xdr:colOff>0</xdr:colOff>
      <xdr:row>26</xdr:row>
      <xdr:rowOff>0</xdr:rowOff>
    </xdr:from>
    <xdr:to>
      <xdr:col>11</xdr:col>
      <xdr:colOff>621720</xdr:colOff>
      <xdr:row>42</xdr:row>
      <xdr:rowOff>11520</xdr:rowOff>
    </xdr:to>
    <xdr:graphicFrame>
      <xdr:nvGraphicFramePr>
        <xdr:cNvPr id="3" name="Chart 4"/>
        <xdr:cNvGraphicFramePr/>
      </xdr:nvGraphicFramePr>
      <xdr:xfrm>
        <a:off x="3947040" y="5172120"/>
        <a:ext cx="6119640" cy="305964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0</xdr:colOff>
      <xdr:row>44</xdr:row>
      <xdr:rowOff>0</xdr:rowOff>
    </xdr:from>
    <xdr:to>
      <xdr:col>9</xdr:col>
      <xdr:colOff>307080</xdr:colOff>
      <xdr:row>61</xdr:row>
      <xdr:rowOff>1080</xdr:rowOff>
    </xdr:to>
    <xdr:graphicFrame>
      <xdr:nvGraphicFramePr>
        <xdr:cNvPr id="4" name="Chart 5"/>
        <xdr:cNvGraphicFramePr/>
      </xdr:nvGraphicFramePr>
      <xdr:xfrm>
        <a:off x="0" y="8601120"/>
        <a:ext cx="7919640" cy="323964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28"/>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100"/>
  </cols>
  <sheetData>
    <row r="1" customFormat="false" ht="25.5" hidden="false" customHeight="true" outlineLevel="0" collapsed="false">
      <c r="A1" s="1" t="s">
        <v>0</v>
      </c>
      <c r="B1" s="1"/>
      <c r="C1" s="1"/>
      <c r="D1" s="1"/>
      <c r="E1" s="1"/>
      <c r="F1" s="1"/>
      <c r="G1" s="1"/>
      <c r="H1" s="1"/>
    </row>
    <row r="2" customFormat="false" ht="15" hidden="false" customHeight="false" outlineLevel="0" collapsed="false">
      <c r="A2" s="2" t="s">
        <v>1</v>
      </c>
      <c r="B2" s="2"/>
      <c r="C2" s="2"/>
      <c r="D2" s="2"/>
      <c r="E2" s="2"/>
      <c r="F2" s="2"/>
      <c r="G2" s="2"/>
      <c r="H2" s="2"/>
    </row>
    <row r="4" customFormat="false" ht="15" hidden="false" customHeight="false" outlineLevel="0" collapsed="false">
      <c r="B4" s="3" t="s">
        <v>2</v>
      </c>
      <c r="C4" s="3"/>
      <c r="D4" s="3"/>
      <c r="E4" s="3"/>
      <c r="F4" s="3"/>
      <c r="G4" s="3"/>
      <c r="H4" s="3"/>
    </row>
    <row r="5" customFormat="false" ht="15" hidden="false" customHeight="true" outlineLevel="0" collapsed="false">
      <c r="B5" s="4" t="s">
        <v>3</v>
      </c>
      <c r="C5" s="4"/>
      <c r="D5" s="4"/>
      <c r="E5" s="4"/>
      <c r="F5" s="4"/>
      <c r="G5" s="4"/>
      <c r="H5" s="4"/>
    </row>
    <row r="6" customFormat="false" ht="15" hidden="false" customHeight="false" outlineLevel="0" collapsed="false">
      <c r="B6" s="4"/>
      <c r="C6" s="4"/>
      <c r="D6" s="4"/>
      <c r="E6" s="4"/>
      <c r="F6" s="4"/>
      <c r="G6" s="4"/>
      <c r="H6" s="4"/>
    </row>
    <row r="7" customFormat="false" ht="15" hidden="false" customHeight="false" outlineLevel="0" collapsed="false">
      <c r="B7" s="4"/>
      <c r="C7" s="4"/>
      <c r="D7" s="4"/>
      <c r="E7" s="4"/>
      <c r="F7" s="4"/>
      <c r="G7" s="4"/>
      <c r="H7" s="4"/>
    </row>
    <row r="8" customFormat="false" ht="15" hidden="false" customHeight="false" outlineLevel="0" collapsed="false">
      <c r="B8" s="4"/>
      <c r="C8" s="4"/>
      <c r="D8" s="4"/>
      <c r="E8" s="4"/>
      <c r="F8" s="4"/>
      <c r="G8" s="4"/>
      <c r="H8" s="4"/>
    </row>
    <row r="10" customFormat="false" ht="15" hidden="false" customHeight="false" outlineLevel="0" collapsed="false">
      <c r="B10" s="3" t="s">
        <v>4</v>
      </c>
      <c r="C10" s="3"/>
      <c r="D10" s="3"/>
      <c r="E10" s="3"/>
      <c r="F10" s="3"/>
      <c r="G10" s="3"/>
      <c r="H10" s="3"/>
    </row>
    <row r="11" customFormat="false" ht="27.75" hidden="false" customHeight="true" outlineLevel="0" collapsed="false">
      <c r="B11" s="4" t="s">
        <v>5</v>
      </c>
      <c r="C11" s="4"/>
      <c r="D11" s="4"/>
      <c r="E11" s="4"/>
      <c r="F11" s="4"/>
      <c r="G11" s="4"/>
      <c r="H11" s="4"/>
    </row>
    <row r="12" customFormat="false" ht="27.75" hidden="false" customHeight="true" outlineLevel="0" collapsed="false">
      <c r="B12" s="4" t="s">
        <v>6</v>
      </c>
      <c r="C12" s="4"/>
      <c r="D12" s="4"/>
      <c r="E12" s="4"/>
      <c r="F12" s="4"/>
      <c r="G12" s="4"/>
      <c r="H12" s="4"/>
    </row>
    <row r="13" customFormat="false" ht="27.75" hidden="false" customHeight="true" outlineLevel="0" collapsed="false">
      <c r="B13" s="4" t="s">
        <v>7</v>
      </c>
      <c r="C13" s="4"/>
      <c r="D13" s="4"/>
      <c r="E13" s="4"/>
      <c r="F13" s="4"/>
      <c r="G13" s="4"/>
      <c r="H13" s="4"/>
    </row>
    <row r="14" customFormat="false" ht="27.75" hidden="false" customHeight="true" outlineLevel="0" collapsed="false">
      <c r="B14" s="4" t="s">
        <v>8</v>
      </c>
      <c r="C14" s="4"/>
      <c r="D14" s="4"/>
      <c r="E14" s="4"/>
      <c r="F14" s="4"/>
      <c r="G14" s="4"/>
      <c r="H14" s="4"/>
    </row>
    <row r="15" customFormat="false" ht="27.75" hidden="false" customHeight="true" outlineLevel="0" collapsed="false">
      <c r="B15" s="4" t="s">
        <v>9</v>
      </c>
      <c r="C15" s="4"/>
      <c r="D15" s="4"/>
      <c r="E15" s="4"/>
      <c r="F15" s="4"/>
      <c r="G15" s="4"/>
      <c r="H15" s="4"/>
    </row>
    <row r="16" customFormat="false" ht="27.75" hidden="false" customHeight="true" outlineLevel="0" collapsed="false">
      <c r="B16" s="4" t="s">
        <v>10</v>
      </c>
      <c r="C16" s="4"/>
      <c r="D16" s="4"/>
      <c r="E16" s="4"/>
      <c r="F16" s="4"/>
      <c r="G16" s="4"/>
      <c r="H16" s="4"/>
    </row>
    <row r="17" customFormat="false" ht="27.75" hidden="false" customHeight="true" outlineLevel="0" collapsed="false">
      <c r="B17" s="4" t="s">
        <v>11</v>
      </c>
      <c r="C17" s="4"/>
      <c r="D17" s="4"/>
      <c r="E17" s="4"/>
      <c r="F17" s="4"/>
      <c r="G17" s="4"/>
      <c r="H17" s="4"/>
    </row>
    <row r="19" customFormat="false" ht="15" hidden="false" customHeight="false" outlineLevel="0" collapsed="false">
      <c r="B19" s="3" t="s">
        <v>12</v>
      </c>
      <c r="C19" s="3"/>
      <c r="D19" s="3"/>
      <c r="E19" s="3"/>
      <c r="F19" s="3"/>
      <c r="G19" s="3"/>
      <c r="H19" s="3"/>
    </row>
    <row r="20" customFormat="false" ht="15" hidden="false" customHeight="false" outlineLevel="0" collapsed="false">
      <c r="B20" s="5" t="s">
        <v>13</v>
      </c>
      <c r="C20" s="6" t="s">
        <v>14</v>
      </c>
      <c r="D20" s="6"/>
      <c r="E20" s="6"/>
      <c r="F20" s="6"/>
      <c r="G20" s="6"/>
      <c r="H20" s="6"/>
    </row>
    <row r="21" customFormat="false" ht="15" hidden="false" customHeight="false" outlineLevel="0" collapsed="false">
      <c r="B21" s="7" t="s">
        <v>15</v>
      </c>
      <c r="C21" s="6" t="s">
        <v>16</v>
      </c>
      <c r="D21" s="6"/>
      <c r="E21" s="6"/>
      <c r="F21" s="6"/>
      <c r="G21" s="6"/>
      <c r="H21" s="6"/>
    </row>
    <row r="22" customFormat="false" ht="15" hidden="false" customHeight="false" outlineLevel="0" collapsed="false">
      <c r="B22" s="8" t="s">
        <v>17</v>
      </c>
      <c r="C22" s="6" t="s">
        <v>18</v>
      </c>
      <c r="D22" s="6"/>
      <c r="E22" s="6"/>
      <c r="F22" s="6"/>
      <c r="G22" s="6"/>
      <c r="H22" s="6"/>
    </row>
    <row r="23" customFormat="false" ht="15" hidden="false" customHeight="false" outlineLevel="0" collapsed="false">
      <c r="B23" s="9" t="s">
        <v>19</v>
      </c>
      <c r="C23" s="6" t="s">
        <v>20</v>
      </c>
      <c r="D23" s="6"/>
      <c r="E23" s="6"/>
      <c r="F23" s="6"/>
      <c r="G23" s="6"/>
      <c r="H23" s="6"/>
    </row>
    <row r="25" customFormat="false" ht="15" hidden="false" customHeight="false" outlineLevel="0" collapsed="false">
      <c r="B25" s="3" t="s">
        <v>21</v>
      </c>
      <c r="C25" s="3"/>
      <c r="D25" s="3"/>
      <c r="E25" s="3"/>
      <c r="F25" s="3"/>
      <c r="G25" s="3"/>
      <c r="H25" s="3"/>
    </row>
    <row r="26" customFormat="false" ht="15" hidden="false" customHeight="true" outlineLevel="0" collapsed="false">
      <c r="B26" s="10" t="s">
        <v>22</v>
      </c>
      <c r="C26" s="10"/>
      <c r="D26" s="10"/>
      <c r="E26" s="10"/>
      <c r="F26" s="10"/>
      <c r="G26" s="10"/>
      <c r="H26" s="10"/>
    </row>
    <row r="27" customFormat="false" ht="15" hidden="false" customHeight="false" outlineLevel="0" collapsed="false">
      <c r="B27" s="10"/>
      <c r="C27" s="10"/>
      <c r="D27" s="10"/>
      <c r="E27" s="10"/>
      <c r="F27" s="10"/>
      <c r="G27" s="10"/>
      <c r="H27" s="10"/>
    </row>
    <row r="28" customFormat="false" ht="15" hidden="false" customHeight="false" outlineLevel="0" collapsed="false">
      <c r="B28" s="10"/>
      <c r="C28" s="10"/>
      <c r="D28" s="10"/>
      <c r="E28" s="10"/>
      <c r="F28" s="10"/>
      <c r="G28" s="10"/>
      <c r="H28" s="10"/>
    </row>
  </sheetData>
  <mergeCells count="19">
    <mergeCell ref="A1:H1"/>
    <mergeCell ref="A2:H2"/>
    <mergeCell ref="B4:H4"/>
    <mergeCell ref="B5:H8"/>
    <mergeCell ref="B10:H10"/>
    <mergeCell ref="B11:H11"/>
    <mergeCell ref="B12:H12"/>
    <mergeCell ref="B13:H13"/>
    <mergeCell ref="B14:H14"/>
    <mergeCell ref="B15:H15"/>
    <mergeCell ref="B16:H16"/>
    <mergeCell ref="B17:H17"/>
    <mergeCell ref="B19:H19"/>
    <mergeCell ref="C20:H20"/>
    <mergeCell ref="C21:H21"/>
    <mergeCell ref="C22:H22"/>
    <mergeCell ref="C23:H23"/>
    <mergeCell ref="B25:H25"/>
    <mergeCell ref="B26:H28"/>
  </mergeCells>
  <printOptions headings="false" gridLines="false" gridLinesSet="true" horizontalCentered="false" verticalCentered="false"/>
  <pageMargins left="0.3" right="0.3" top="0.4" bottom="0.4"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N7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14" min="2" style="0" width="13"/>
  </cols>
  <sheetData>
    <row r="1" customFormat="false" ht="25.5" hidden="false" customHeight="true" outlineLevel="0" collapsed="false">
      <c r="A1" s="1" t="s">
        <v>23</v>
      </c>
      <c r="B1" s="1"/>
      <c r="C1" s="1"/>
      <c r="D1" s="1"/>
      <c r="E1" s="1"/>
      <c r="F1" s="1"/>
      <c r="G1" s="1"/>
      <c r="H1" s="1"/>
      <c r="I1" s="1"/>
      <c r="J1" s="1"/>
      <c r="K1" s="1"/>
      <c r="L1" s="1"/>
      <c r="M1" s="1"/>
      <c r="N1" s="1"/>
    </row>
    <row r="2" customFormat="false" ht="15" hidden="false" customHeight="false" outlineLevel="0" collapsed="false">
      <c r="A2" s="2" t="s">
        <v>24</v>
      </c>
      <c r="B2" s="2"/>
      <c r="C2" s="2"/>
      <c r="D2" s="2"/>
      <c r="E2" s="2"/>
      <c r="F2" s="2"/>
      <c r="G2" s="2"/>
      <c r="H2" s="2"/>
      <c r="I2" s="2"/>
      <c r="J2" s="2"/>
      <c r="K2" s="2"/>
      <c r="L2" s="2"/>
      <c r="M2" s="2"/>
      <c r="N2" s="2"/>
    </row>
    <row r="5" customFormat="false" ht="15" hidden="false" customHeight="false" outlineLevel="0" collapsed="false">
      <c r="A5" s="11" t="s">
        <v>25</v>
      </c>
      <c r="B5" s="11"/>
      <c r="D5" s="11" t="s">
        <v>26</v>
      </c>
      <c r="E5" s="11"/>
      <c r="G5" s="11" t="s">
        <v>27</v>
      </c>
      <c r="H5" s="11"/>
      <c r="J5" s="11" t="s">
        <v>28</v>
      </c>
      <c r="K5" s="11"/>
      <c r="M5" s="11" t="s">
        <v>29</v>
      </c>
      <c r="N5" s="11"/>
    </row>
    <row r="6" customFormat="false" ht="21.75" hidden="false" customHeight="true" outlineLevel="0" collapsed="false">
      <c r="A6" s="12" t="n">
        <f aca="false">'P&amp;L Summary'!N10</f>
        <v>155139284.901531</v>
      </c>
      <c r="B6" s="12"/>
      <c r="D6" s="12" t="n">
        <f aca="false">'P&amp;L Summary'!N18</f>
        <v>319303396.88616</v>
      </c>
      <c r="E6" s="12"/>
      <c r="G6" s="12" t="n">
        <f aca="false">'P&amp;L Summary'!N20</f>
        <v>-164164111.984629</v>
      </c>
      <c r="H6" s="12"/>
      <c r="J6" s="13" t="n">
        <f aca="false">'Cash Flow'!B14</f>
        <v>5.08671822185745</v>
      </c>
      <c r="K6" s="13"/>
      <c r="M6" s="12" t="n">
        <f aca="false">'Cash Flow'!B16</f>
        <v>91389363.1926625</v>
      </c>
      <c r="N6" s="12"/>
    </row>
    <row r="64" customFormat="false" ht="15" hidden="false" customHeight="false" outlineLevel="0" collapsed="false">
      <c r="A64" s="3" t="s">
        <v>30</v>
      </c>
      <c r="B64" s="3"/>
      <c r="C64" s="3"/>
      <c r="D64" s="3"/>
      <c r="E64" s="3"/>
      <c r="F64" s="3"/>
      <c r="G64" s="3"/>
      <c r="H64" s="3"/>
    </row>
    <row r="65" customFormat="false" ht="15" hidden="false" customHeight="false" outlineLevel="0" collapsed="false">
      <c r="A65" s="14"/>
      <c r="B65" s="14" t="s">
        <v>31</v>
      </c>
      <c r="C65" s="14" t="s">
        <v>32</v>
      </c>
      <c r="D65" s="14" t="s">
        <v>33</v>
      </c>
    </row>
    <row r="66" customFormat="false" ht="15" hidden="false" customHeight="false" outlineLevel="0" collapsed="false">
      <c r="A66" s="7" t="s">
        <v>34</v>
      </c>
      <c r="B66" s="15" t="n">
        <f aca="false">'Scenario Analysis'!B57</f>
        <v>39237591.3949086</v>
      </c>
      <c r="C66" s="15" t="n">
        <f aca="false">'Scenario Analysis'!C57</f>
        <v>155139284.901531</v>
      </c>
      <c r="D66" s="15" t="n">
        <f aca="false">'Scenario Analysis'!D57</f>
        <v>214707973.212293</v>
      </c>
    </row>
    <row r="67" customFormat="false" ht="15" hidden="false" customHeight="false" outlineLevel="0" collapsed="false">
      <c r="A67" s="7" t="s">
        <v>35</v>
      </c>
      <c r="B67" s="15" t="n">
        <f aca="false">'Scenario Analysis'!B58</f>
        <v>308589877.927519</v>
      </c>
      <c r="C67" s="15" t="n">
        <f aca="false">'Scenario Analysis'!C58</f>
        <v>319303396.88616</v>
      </c>
      <c r="D67" s="15" t="n">
        <f aca="false">'Scenario Analysis'!D58</f>
        <v>325507403.013313</v>
      </c>
    </row>
    <row r="68" customFormat="false" ht="15" hidden="false" customHeight="false" outlineLevel="0" collapsed="false">
      <c r="A68" s="7" t="s">
        <v>36</v>
      </c>
      <c r="B68" s="15" t="n">
        <f aca="false">'Scenario Analysis'!B59</f>
        <v>-269352286.53261</v>
      </c>
      <c r="C68" s="15" t="n">
        <f aca="false">'Scenario Analysis'!C59</f>
        <v>-164164111.984629</v>
      </c>
      <c r="D68" s="15" t="n">
        <f aca="false">'Scenario Analysis'!D59</f>
        <v>-110799429.80102</v>
      </c>
    </row>
    <row r="69" customFormat="false" ht="15" hidden="false" customHeight="false" outlineLevel="0" collapsed="false">
      <c r="A69" s="7" t="s">
        <v>37</v>
      </c>
      <c r="B69" s="15" t="n">
        <f aca="false">'Scenario Analysis'!B60</f>
        <v>-194352286.53261</v>
      </c>
      <c r="C69" s="15" t="n">
        <f aca="false">'Scenario Analysis'!C60</f>
        <v>-89164111.9846295</v>
      </c>
      <c r="D69" s="15" t="n">
        <f aca="false">'Scenario Analysis'!D60</f>
        <v>-35799429.8010198</v>
      </c>
    </row>
    <row r="70" customFormat="false" ht="15" hidden="false" customHeight="false" outlineLevel="0" collapsed="false">
      <c r="A70" s="7" t="s">
        <v>38</v>
      </c>
      <c r="B70" s="16" t="n">
        <f aca="false">'Scenario Analysis'!B62</f>
        <v>3.33803274359437</v>
      </c>
      <c r="C70" s="16" t="n">
        <f aca="false">'Scenario Analysis'!C62</f>
        <v>5.08671822185745</v>
      </c>
      <c r="D70" s="16" t="n">
        <f aca="false">'Scenario Analysis'!D62</f>
        <v>6.48833411690306</v>
      </c>
    </row>
  </sheetData>
  <mergeCells count="13">
    <mergeCell ref="A1:N1"/>
    <mergeCell ref="A2:N2"/>
    <mergeCell ref="A5:B5"/>
    <mergeCell ref="D5:E5"/>
    <mergeCell ref="G5:H5"/>
    <mergeCell ref="J5:K5"/>
    <mergeCell ref="M5:N5"/>
    <mergeCell ref="A6:B6"/>
    <mergeCell ref="D6:E6"/>
    <mergeCell ref="G6:H6"/>
    <mergeCell ref="J6:K6"/>
    <mergeCell ref="M6:N6"/>
    <mergeCell ref="A64:H64"/>
  </mergeCells>
  <printOptions headings="false" gridLines="false" gridLinesSet="true" horizontalCentered="false" verticalCentered="false"/>
  <pageMargins left="0.3" right="0.3" top="0.4" bottom="0.4"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E3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6"/>
    <col collapsed="false" customWidth="true" hidden="false" outlineLevel="0" max="4" min="2" style="0" width="14"/>
    <col collapsed="false" customWidth="true" hidden="false" outlineLevel="0" max="5" min="5" style="0" width="50"/>
  </cols>
  <sheetData>
    <row r="1" customFormat="false" ht="25.5" hidden="false" customHeight="true" outlineLevel="0" collapsed="false">
      <c r="A1" s="1" t="s">
        <v>39</v>
      </c>
      <c r="B1" s="1"/>
      <c r="C1" s="1"/>
      <c r="D1" s="1"/>
      <c r="E1" s="1"/>
    </row>
    <row r="2" customFormat="false" ht="15" hidden="false" customHeight="false" outlineLevel="0" collapsed="false">
      <c r="A2" s="2" t="s">
        <v>40</v>
      </c>
      <c r="B2" s="2"/>
      <c r="C2" s="2"/>
      <c r="D2" s="2"/>
      <c r="E2" s="2"/>
    </row>
    <row r="3" customFormat="false" ht="15.75" hidden="false" customHeight="true" outlineLevel="0" collapsed="false">
      <c r="A3" s="17"/>
      <c r="B3" s="14" t="s">
        <v>41</v>
      </c>
      <c r="C3" s="14" t="s">
        <v>42</v>
      </c>
      <c r="D3" s="14" t="s">
        <v>43</v>
      </c>
    </row>
    <row r="4" customFormat="false" ht="18" hidden="false" customHeight="true" outlineLevel="0" collapsed="false">
      <c r="A4" s="18" t="s">
        <v>44</v>
      </c>
      <c r="B4" s="18"/>
      <c r="C4" s="18"/>
      <c r="D4" s="18"/>
      <c r="E4" s="18"/>
    </row>
    <row r="5" customFormat="false" ht="15" hidden="false" customHeight="false" outlineLevel="0" collapsed="false">
      <c r="A5" s="7" t="s">
        <v>45</v>
      </c>
      <c r="B5" s="19" t="s">
        <v>46</v>
      </c>
    </row>
    <row r="6" customFormat="false" ht="15" hidden="false" customHeight="false" outlineLevel="0" collapsed="false">
      <c r="A6" s="7" t="s">
        <v>47</v>
      </c>
      <c r="B6" s="19" t="s">
        <v>48</v>
      </c>
    </row>
    <row r="7" customFormat="false" ht="22.35" hidden="false" customHeight="false" outlineLevel="0" collapsed="false">
      <c r="A7" s="7" t="s">
        <v>49</v>
      </c>
      <c r="B7" s="20" t="n">
        <v>75000000</v>
      </c>
      <c r="E7" s="21" t="s">
        <v>50</v>
      </c>
    </row>
    <row r="9" customFormat="false" ht="18" hidden="false" customHeight="true" outlineLevel="0" collapsed="false">
      <c r="A9" s="18" t="s">
        <v>51</v>
      </c>
      <c r="B9" s="18"/>
      <c r="C9" s="18"/>
      <c r="D9" s="18"/>
      <c r="E9" s="18"/>
    </row>
    <row r="10" customFormat="false" ht="15" hidden="false" customHeight="false" outlineLevel="0" collapsed="false">
      <c r="A10" s="7" t="s">
        <v>52</v>
      </c>
      <c r="B10" s="22" t="n">
        <v>800</v>
      </c>
      <c r="E10" s="21" t="s">
        <v>53</v>
      </c>
    </row>
    <row r="11" customFormat="false" ht="22.35" hidden="false" customHeight="false" outlineLevel="0" collapsed="false">
      <c r="A11" s="7" t="s">
        <v>54</v>
      </c>
      <c r="B11" s="23" t="n">
        <v>0.08</v>
      </c>
      <c r="C11" s="23" t="n">
        <v>0.04</v>
      </c>
      <c r="D11" s="23" t="n">
        <v>0.12</v>
      </c>
      <c r="E11" s="21" t="s">
        <v>55</v>
      </c>
    </row>
    <row r="12" customFormat="false" ht="15" hidden="false" customHeight="false" outlineLevel="0" collapsed="false">
      <c r="A12" s="7" t="s">
        <v>56</v>
      </c>
      <c r="B12" s="23" t="n">
        <v>0.05</v>
      </c>
      <c r="C12" s="23" t="n">
        <v>0.03</v>
      </c>
      <c r="D12" s="23" t="n">
        <v>0.07</v>
      </c>
      <c r="E12" s="21" t="s">
        <v>57</v>
      </c>
    </row>
    <row r="13" customFormat="false" ht="22.35" hidden="false" customHeight="false" outlineLevel="0" collapsed="false">
      <c r="A13" s="7" t="s">
        <v>58</v>
      </c>
      <c r="B13" s="24" t="n">
        <v>4500</v>
      </c>
      <c r="E13" s="21" t="s">
        <v>59</v>
      </c>
    </row>
    <row r="14" customFormat="false" ht="15" hidden="false" customHeight="false" outlineLevel="0" collapsed="false">
      <c r="A14" s="7" t="s">
        <v>60</v>
      </c>
      <c r="B14" s="23" t="n">
        <v>0.04</v>
      </c>
      <c r="C14" s="23" t="n">
        <v>0.06</v>
      </c>
      <c r="D14" s="23" t="n">
        <v>0.03</v>
      </c>
      <c r="E14" s="21" t="s">
        <v>61</v>
      </c>
    </row>
    <row r="16" customFormat="false" ht="18" hidden="false" customHeight="true" outlineLevel="0" collapsed="false">
      <c r="A16" s="18" t="s">
        <v>62</v>
      </c>
      <c r="B16" s="18"/>
      <c r="C16" s="18"/>
      <c r="D16" s="18"/>
      <c r="E16" s="18"/>
    </row>
    <row r="17" customFormat="false" ht="15" hidden="false" customHeight="false" outlineLevel="0" collapsed="false">
      <c r="A17" s="7" t="s">
        <v>63</v>
      </c>
      <c r="B17" s="22" t="n">
        <v>3</v>
      </c>
      <c r="E17" s="21" t="s">
        <v>64</v>
      </c>
    </row>
    <row r="18" customFormat="false" ht="15" hidden="false" customHeight="false" outlineLevel="0" collapsed="false">
      <c r="A18" s="7" t="s">
        <v>65</v>
      </c>
      <c r="B18" s="22" t="n">
        <v>2</v>
      </c>
      <c r="C18" s="22" t="n">
        <v>1</v>
      </c>
      <c r="D18" s="22" t="n">
        <v>3</v>
      </c>
      <c r="E18" s="21" t="s">
        <v>66</v>
      </c>
    </row>
    <row r="19" customFormat="false" ht="15" hidden="false" customHeight="false" outlineLevel="0" collapsed="false">
      <c r="A19" s="7" t="s">
        <v>67</v>
      </c>
      <c r="B19" s="20" t="n">
        <v>225000</v>
      </c>
      <c r="E19" s="21" t="s">
        <v>68</v>
      </c>
    </row>
    <row r="20" customFormat="false" ht="15" hidden="false" customHeight="false" outlineLevel="0" collapsed="false">
      <c r="A20" s="7" t="s">
        <v>69</v>
      </c>
      <c r="B20" s="23" t="n">
        <v>0.01</v>
      </c>
      <c r="C20" s="23" t="n">
        <v>0.02</v>
      </c>
      <c r="D20" s="23" t="n">
        <v>0.005</v>
      </c>
      <c r="E20" s="21" t="s">
        <v>70</v>
      </c>
    </row>
    <row r="22" customFormat="false" ht="18" hidden="false" customHeight="true" outlineLevel="0" collapsed="false">
      <c r="A22" s="18" t="s">
        <v>71</v>
      </c>
      <c r="B22" s="18"/>
      <c r="C22" s="18"/>
      <c r="D22" s="18"/>
      <c r="E22" s="18"/>
    </row>
    <row r="23" customFormat="false" ht="15" hidden="false" customHeight="false" outlineLevel="0" collapsed="false">
      <c r="A23" s="7" t="s">
        <v>72</v>
      </c>
      <c r="B23" s="22" t="n">
        <v>50</v>
      </c>
      <c r="E23" s="21" t="s">
        <v>73</v>
      </c>
    </row>
    <row r="24" customFormat="false" ht="15" hidden="false" customHeight="false" outlineLevel="0" collapsed="false">
      <c r="A24" s="7" t="s">
        <v>74</v>
      </c>
      <c r="B24" s="23" t="n">
        <v>0.05</v>
      </c>
      <c r="C24" s="23" t="n">
        <v>0.02</v>
      </c>
      <c r="D24" s="23" t="n">
        <v>0.08</v>
      </c>
    </row>
    <row r="25" customFormat="false" ht="15" hidden="false" customHeight="false" outlineLevel="0" collapsed="false">
      <c r="A25" s="7" t="s">
        <v>75</v>
      </c>
      <c r="B25" s="24" t="n">
        <v>15000</v>
      </c>
    </row>
    <row r="27" customFormat="false" ht="18" hidden="false" customHeight="true" outlineLevel="0" collapsed="false">
      <c r="A27" s="18" t="s">
        <v>76</v>
      </c>
      <c r="B27" s="18"/>
      <c r="C27" s="18"/>
      <c r="D27" s="18"/>
      <c r="E27" s="18"/>
    </row>
    <row r="28" customFormat="false" ht="22.35" hidden="false" customHeight="false" outlineLevel="0" collapsed="false">
      <c r="A28" s="7" t="s">
        <v>77</v>
      </c>
      <c r="B28" s="20" t="n">
        <v>22500000</v>
      </c>
      <c r="C28" s="20" t="n">
        <v>0</v>
      </c>
      <c r="D28" s="20" t="n">
        <v>30000000</v>
      </c>
      <c r="E28" s="21" t="s">
        <v>78</v>
      </c>
    </row>
    <row r="30" customFormat="false" ht="18" hidden="false" customHeight="true" outlineLevel="0" collapsed="false">
      <c r="A30" s="18" t="s">
        <v>79</v>
      </c>
      <c r="B30" s="18"/>
      <c r="C30" s="18"/>
      <c r="D30" s="18"/>
      <c r="E30" s="18"/>
    </row>
    <row r="31" customFormat="false" ht="15" hidden="false" customHeight="false" outlineLevel="0" collapsed="false">
      <c r="A31" s="7" t="s">
        <v>80</v>
      </c>
      <c r="B31" s="20" t="n">
        <v>18000000</v>
      </c>
      <c r="E31" s="21" t="s">
        <v>81</v>
      </c>
    </row>
    <row r="32" customFormat="false" ht="15" hidden="false" customHeight="false" outlineLevel="0" collapsed="false">
      <c r="A32" s="7" t="s">
        <v>82</v>
      </c>
      <c r="B32" s="23" t="n">
        <v>0.03</v>
      </c>
      <c r="E32" s="21" t="s">
        <v>83</v>
      </c>
    </row>
    <row r="33" customFormat="false" ht="15" hidden="false" customHeight="false" outlineLevel="0" collapsed="false">
      <c r="A33" s="7" t="s">
        <v>84</v>
      </c>
      <c r="B33" s="20" t="n">
        <v>2250000</v>
      </c>
    </row>
    <row r="34" customFormat="false" ht="15" hidden="false" customHeight="false" outlineLevel="0" collapsed="false">
      <c r="A34" s="7" t="s">
        <v>85</v>
      </c>
      <c r="B34" s="24" t="n">
        <v>75</v>
      </c>
      <c r="E34" s="21" t="s">
        <v>86</v>
      </c>
    </row>
    <row r="35" customFormat="false" ht="15" hidden="false" customHeight="false" outlineLevel="0" collapsed="false">
      <c r="A35" s="7" t="s">
        <v>87</v>
      </c>
      <c r="B35" s="20" t="n">
        <v>1500000</v>
      </c>
    </row>
    <row r="36" customFormat="false" ht="15" hidden="false" customHeight="false" outlineLevel="0" collapsed="false">
      <c r="A36" s="7" t="s">
        <v>88</v>
      </c>
      <c r="B36" s="23" t="n">
        <v>0.08</v>
      </c>
      <c r="E36" s="21" t="s">
        <v>89</v>
      </c>
    </row>
    <row r="37" customFormat="false" ht="15" hidden="false" customHeight="false" outlineLevel="0" collapsed="false">
      <c r="A37" s="7" t="s">
        <v>90</v>
      </c>
      <c r="B37" s="20" t="n">
        <v>1200000</v>
      </c>
    </row>
    <row r="38" customFormat="false" ht="15" hidden="false" customHeight="false" outlineLevel="0" collapsed="false">
      <c r="A38" s="7" t="s">
        <v>91</v>
      </c>
      <c r="B38" s="23" t="n">
        <v>0.05</v>
      </c>
      <c r="E38" s="21" t="s">
        <v>92</v>
      </c>
    </row>
  </sheetData>
  <mergeCells count="8">
    <mergeCell ref="A1:E1"/>
    <mergeCell ref="A2:E2"/>
    <mergeCell ref="A4:E4"/>
    <mergeCell ref="A9:E9"/>
    <mergeCell ref="A16:E16"/>
    <mergeCell ref="A22:E22"/>
    <mergeCell ref="A27:E27"/>
    <mergeCell ref="A30:E30"/>
  </mergeCells>
  <printOptions headings="false" gridLines="false" gridLinesSet="true" horizontalCentered="false" verticalCentered="false"/>
  <pageMargins left="0.3" right="0.3" top="0.4" bottom="0.4"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M2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13" min="2" style="0" width="13"/>
  </cols>
  <sheetData>
    <row r="1" customFormat="false" ht="25.5" hidden="false" customHeight="true" outlineLevel="0" collapsed="false">
      <c r="A1" s="1" t="s">
        <v>93</v>
      </c>
      <c r="B1" s="1"/>
      <c r="C1" s="1"/>
      <c r="D1" s="1"/>
      <c r="E1" s="1"/>
      <c r="F1" s="1"/>
      <c r="G1" s="1"/>
      <c r="H1" s="1"/>
      <c r="I1" s="1"/>
      <c r="J1" s="1"/>
      <c r="K1" s="1"/>
      <c r="L1" s="1"/>
      <c r="M1" s="1"/>
    </row>
    <row r="2" customFormat="false" ht="15" hidden="false" customHeight="false" outlineLevel="0" collapsed="false">
      <c r="A2" s="2" t="s">
        <v>94</v>
      </c>
      <c r="B2" s="2"/>
      <c r="C2" s="2"/>
      <c r="D2" s="2"/>
      <c r="E2" s="2"/>
      <c r="F2" s="2"/>
      <c r="G2" s="2"/>
      <c r="H2" s="2"/>
      <c r="I2" s="2"/>
      <c r="J2" s="2"/>
      <c r="K2" s="2"/>
      <c r="L2" s="2"/>
      <c r="M2" s="2"/>
    </row>
    <row r="3" customFormat="false" ht="15.75" hidden="false" customHeight="true" outlineLevel="0" collapsed="false">
      <c r="A3" s="17"/>
      <c r="B3" s="14" t="s">
        <v>95</v>
      </c>
      <c r="C3" s="14" t="s">
        <v>96</v>
      </c>
      <c r="D3" s="14" t="s">
        <v>97</v>
      </c>
      <c r="E3" s="14" t="s">
        <v>98</v>
      </c>
      <c r="F3" s="14" t="s">
        <v>99</v>
      </c>
      <c r="G3" s="14" t="s">
        <v>100</v>
      </c>
      <c r="H3" s="14" t="s">
        <v>101</v>
      </c>
      <c r="I3" s="14" t="s">
        <v>102</v>
      </c>
      <c r="J3" s="14" t="s">
        <v>103</v>
      </c>
      <c r="K3" s="14" t="s">
        <v>104</v>
      </c>
      <c r="L3" s="14" t="s">
        <v>105</v>
      </c>
      <c r="M3" s="14" t="s">
        <v>106</v>
      </c>
    </row>
    <row r="5" customFormat="false" ht="18" hidden="false" customHeight="true" outlineLevel="0" collapsed="false">
      <c r="A5" s="18" t="s">
        <v>51</v>
      </c>
      <c r="B5" s="18"/>
      <c r="C5" s="18"/>
      <c r="D5" s="18"/>
      <c r="E5" s="18"/>
      <c r="F5" s="18"/>
      <c r="G5" s="18"/>
      <c r="H5" s="18"/>
      <c r="I5" s="18"/>
      <c r="J5" s="18"/>
      <c r="K5" s="18"/>
      <c r="L5" s="18"/>
      <c r="M5" s="18"/>
    </row>
    <row r="6" customFormat="false" ht="15" hidden="false" customHeight="false" outlineLevel="0" collapsed="false">
      <c r="A6" s="7" t="s">
        <v>107</v>
      </c>
      <c r="B6" s="25" t="n">
        <f aca="false">Assumptions!$B$10</f>
        <v>800</v>
      </c>
      <c r="C6" s="25" t="n">
        <f aca="false">B6*(1+Assumptions!$B$11)</f>
        <v>864</v>
      </c>
      <c r="D6" s="25" t="n">
        <f aca="false">C6*(1+Assumptions!$B$11)</f>
        <v>933.12</v>
      </c>
      <c r="E6" s="25" t="n">
        <f aca="false">D6*(1+Assumptions!$B$11)</f>
        <v>1007.7696</v>
      </c>
      <c r="F6" s="25" t="n">
        <f aca="false">E6*(1+Assumptions!$B$11)</f>
        <v>1088.391168</v>
      </c>
      <c r="G6" s="25" t="n">
        <f aca="false">F6*(1+Assumptions!$B$11)</f>
        <v>1175.46246144</v>
      </c>
      <c r="H6" s="25" t="n">
        <f aca="false">G6*(1+Assumptions!$B$11)</f>
        <v>1269.4994583552</v>
      </c>
      <c r="I6" s="25" t="n">
        <f aca="false">H6*(1+Assumptions!$B$11)</f>
        <v>1371.05941502362</v>
      </c>
      <c r="J6" s="25" t="n">
        <f aca="false">I6*(1+Assumptions!$B$11)</f>
        <v>1480.74416822551</v>
      </c>
      <c r="K6" s="25" t="n">
        <f aca="false">J6*(1+Assumptions!$B$11)</f>
        <v>1599.20370168355</v>
      </c>
      <c r="L6" s="25" t="n">
        <f aca="false">K6*(1+Assumptions!$B$11)</f>
        <v>1727.13999781823</v>
      </c>
      <c r="M6" s="25" t="n">
        <f aca="false">L6*(1+Assumptions!$B$11)</f>
        <v>1865.31119764369</v>
      </c>
    </row>
    <row r="7" customFormat="false" ht="15" hidden="false" customHeight="false" outlineLevel="0" collapsed="false">
      <c r="A7" s="7" t="s">
        <v>108</v>
      </c>
      <c r="B7" s="25" t="n">
        <f aca="false">B6</f>
        <v>800</v>
      </c>
      <c r="C7" s="25" t="n">
        <f aca="false">B7+C6</f>
        <v>1664</v>
      </c>
      <c r="D7" s="25" t="n">
        <f aca="false">C7+D6</f>
        <v>2597.12</v>
      </c>
      <c r="E7" s="25" t="n">
        <f aca="false">D7+E6</f>
        <v>3604.8896</v>
      </c>
      <c r="F7" s="25" t="n">
        <f aca="false">E7+F6</f>
        <v>4693.280768</v>
      </c>
      <c r="G7" s="25" t="n">
        <f aca="false">F7+G6</f>
        <v>5868.74322944</v>
      </c>
      <c r="H7" s="25" t="n">
        <f aca="false">G7+H6</f>
        <v>7138.2426877952</v>
      </c>
      <c r="I7" s="25" t="n">
        <f aca="false">H7+I6</f>
        <v>8509.30210281882</v>
      </c>
      <c r="J7" s="25" t="n">
        <f aca="false">I7+J6</f>
        <v>9990.04627104432</v>
      </c>
      <c r="K7" s="25" t="n">
        <f aca="false">J7+K6</f>
        <v>11589.2499727279</v>
      </c>
      <c r="L7" s="25" t="n">
        <f aca="false">K7+L6</f>
        <v>13316.3899705461</v>
      </c>
      <c r="M7" s="25" t="n">
        <f aca="false">L7+M6</f>
        <v>15181.7011681898</v>
      </c>
    </row>
    <row r="8" customFormat="false" ht="15" hidden="false" customHeight="false" outlineLevel="0" collapsed="false">
      <c r="A8" s="7" t="s">
        <v>109</v>
      </c>
      <c r="B8" s="25" t="n">
        <f aca="false">B6*Assumptions!$B$12</f>
        <v>40</v>
      </c>
      <c r="C8" s="25" t="n">
        <f aca="false">C6*Assumptions!$B$12</f>
        <v>43.2</v>
      </c>
      <c r="D8" s="25" t="n">
        <f aca="false">D6*Assumptions!$B$12</f>
        <v>46.656</v>
      </c>
      <c r="E8" s="25" t="n">
        <f aca="false">E6*Assumptions!$B$12</f>
        <v>50.38848</v>
      </c>
      <c r="F8" s="25" t="n">
        <f aca="false">F6*Assumptions!$B$12</f>
        <v>54.4195584</v>
      </c>
      <c r="G8" s="25" t="n">
        <f aca="false">G6*Assumptions!$B$12</f>
        <v>58.773123072</v>
      </c>
      <c r="H8" s="25" t="n">
        <f aca="false">H6*Assumptions!$B$12</f>
        <v>63.47497291776</v>
      </c>
      <c r="I8" s="25" t="n">
        <f aca="false">I6*Assumptions!$B$12</f>
        <v>68.5529707511808</v>
      </c>
      <c r="J8" s="25" t="n">
        <f aca="false">J6*Assumptions!$B$12</f>
        <v>74.0372084112753</v>
      </c>
      <c r="K8" s="25" t="n">
        <f aca="false">K6*Assumptions!$B$12</f>
        <v>79.9601850841773</v>
      </c>
      <c r="L8" s="25" t="n">
        <f aca="false">L6*Assumptions!$B$12</f>
        <v>86.3569998909115</v>
      </c>
      <c r="M8" s="25" t="n">
        <f aca="false">M6*Assumptions!$B$12</f>
        <v>93.2655598821845</v>
      </c>
    </row>
    <row r="9" customFormat="false" ht="15" hidden="false" customHeight="false" outlineLevel="0" collapsed="false">
      <c r="A9" s="7" t="s">
        <v>110</v>
      </c>
      <c r="B9" s="25" t="n">
        <f aca="false">B8</f>
        <v>40</v>
      </c>
      <c r="C9" s="25" t="n">
        <f aca="false">B9*(1-Assumptions!$B$14)+C8</f>
        <v>81.6</v>
      </c>
      <c r="D9" s="25" t="n">
        <f aca="false">C9*(1-Assumptions!$B$14)+D8</f>
        <v>124.992</v>
      </c>
      <c r="E9" s="25" t="n">
        <f aca="false">D9*(1-Assumptions!$B$14)+E8</f>
        <v>170.3808</v>
      </c>
      <c r="F9" s="25" t="n">
        <f aca="false">E9*(1-Assumptions!$B$14)+F8</f>
        <v>217.9851264</v>
      </c>
      <c r="G9" s="25" t="n">
        <f aca="false">F9*(1-Assumptions!$B$14)+G8</f>
        <v>268.038844416</v>
      </c>
      <c r="H9" s="25" t="n">
        <f aca="false">G9*(1-Assumptions!$B$14)+H8</f>
        <v>320.79226355712</v>
      </c>
      <c r="I9" s="25" t="n">
        <f aca="false">H9*(1-Assumptions!$B$14)+I8</f>
        <v>376.513543766016</v>
      </c>
      <c r="J9" s="25" t="n">
        <f aca="false">I9*(1-Assumptions!$B$14)+J8</f>
        <v>435.490210426651</v>
      </c>
      <c r="K9" s="25" t="n">
        <f aca="false">J9*(1-Assumptions!$B$14)+K8</f>
        <v>498.030787093762</v>
      </c>
      <c r="L9" s="25" t="n">
        <f aca="false">K9*(1-Assumptions!$B$14)+L8</f>
        <v>564.466555500923</v>
      </c>
      <c r="M9" s="25" t="n">
        <f aca="false">L9*(1-Assumptions!$B$14)+M8</f>
        <v>635.153453163071</v>
      </c>
    </row>
    <row r="10" customFormat="false" ht="15" hidden="false" customHeight="false" outlineLevel="0" collapsed="false">
      <c r="A10" s="26" t="s">
        <v>111</v>
      </c>
      <c r="B10" s="15" t="n">
        <f aca="false">B9*Assumptions!$B$13</f>
        <v>180000</v>
      </c>
      <c r="C10" s="15" t="n">
        <f aca="false">C9*Assumptions!$B$13</f>
        <v>367200</v>
      </c>
      <c r="D10" s="15" t="n">
        <f aca="false">D9*Assumptions!$B$13</f>
        <v>562464</v>
      </c>
      <c r="E10" s="15" t="n">
        <f aca="false">E9*Assumptions!$B$13</f>
        <v>766713.6</v>
      </c>
      <c r="F10" s="15" t="n">
        <f aca="false">F9*Assumptions!$B$13</f>
        <v>980933.0688</v>
      </c>
      <c r="G10" s="15" t="n">
        <f aca="false">G9*Assumptions!$B$13</f>
        <v>1206174.799872</v>
      </c>
      <c r="H10" s="15" t="n">
        <f aca="false">H9*Assumptions!$B$13</f>
        <v>1443565.18600704</v>
      </c>
      <c r="I10" s="15" t="n">
        <f aca="false">I9*Assumptions!$B$13</f>
        <v>1694310.94694707</v>
      </c>
      <c r="J10" s="15" t="n">
        <f aca="false">J9*Assumptions!$B$13</f>
        <v>1959705.94691993</v>
      </c>
      <c r="K10" s="15" t="n">
        <f aca="false">K9*Assumptions!$B$13</f>
        <v>2241138.54192193</v>
      </c>
      <c r="L10" s="15" t="n">
        <f aca="false">L9*Assumptions!$B$13</f>
        <v>2540099.49975415</v>
      </c>
      <c r="M10" s="15" t="n">
        <f aca="false">M9*Assumptions!$B$13</f>
        <v>2858190.53923382</v>
      </c>
    </row>
    <row r="12" customFormat="false" ht="18" hidden="false" customHeight="true" outlineLevel="0" collapsed="false">
      <c r="A12" s="18" t="s">
        <v>62</v>
      </c>
      <c r="B12" s="18"/>
      <c r="C12" s="18"/>
      <c r="D12" s="18"/>
      <c r="E12" s="18"/>
      <c r="F12" s="18"/>
      <c r="G12" s="18"/>
      <c r="H12" s="18"/>
      <c r="I12" s="18"/>
      <c r="J12" s="18"/>
      <c r="K12" s="18"/>
      <c r="L12" s="18"/>
      <c r="M12" s="18"/>
    </row>
    <row r="13" customFormat="false" ht="15" hidden="false" customHeight="false" outlineLevel="0" collapsed="false">
      <c r="A13" s="7" t="s">
        <v>112</v>
      </c>
      <c r="B13" s="25" t="n">
        <f aca="false">Assumptions!$B$17</f>
        <v>3</v>
      </c>
      <c r="C13" s="25" t="n">
        <f aca="false">Assumptions!$B$18</f>
        <v>2</v>
      </c>
      <c r="D13" s="25" t="n">
        <f aca="false">Assumptions!$B$18</f>
        <v>2</v>
      </c>
      <c r="E13" s="25" t="n">
        <f aca="false">Assumptions!$B$18</f>
        <v>2</v>
      </c>
      <c r="F13" s="25" t="n">
        <f aca="false">Assumptions!$B$18</f>
        <v>2</v>
      </c>
      <c r="G13" s="25" t="n">
        <f aca="false">Assumptions!$B$18</f>
        <v>2</v>
      </c>
      <c r="H13" s="25" t="n">
        <f aca="false">Assumptions!$B$18</f>
        <v>2</v>
      </c>
      <c r="I13" s="25" t="n">
        <f aca="false">Assumptions!$B$18</f>
        <v>2</v>
      </c>
      <c r="J13" s="25" t="n">
        <f aca="false">Assumptions!$B$18</f>
        <v>2</v>
      </c>
      <c r="K13" s="25" t="n">
        <f aca="false">Assumptions!$B$18</f>
        <v>2</v>
      </c>
      <c r="L13" s="25" t="n">
        <f aca="false">Assumptions!$B$18</f>
        <v>2</v>
      </c>
      <c r="M13" s="25" t="n">
        <f aca="false">Assumptions!$B$18</f>
        <v>2</v>
      </c>
    </row>
    <row r="14" customFormat="false" ht="15" hidden="false" customHeight="false" outlineLevel="0" collapsed="false">
      <c r="A14" s="7" t="s">
        <v>113</v>
      </c>
      <c r="B14" s="25" t="n">
        <f aca="false">B13</f>
        <v>3</v>
      </c>
      <c r="C14" s="25" t="n">
        <f aca="false">B14*(1-Assumptions!$B$20)+C13</f>
        <v>4.97</v>
      </c>
      <c r="D14" s="25" t="n">
        <f aca="false">C14*(1-Assumptions!$B$20)+D13</f>
        <v>6.9203</v>
      </c>
      <c r="E14" s="25" t="n">
        <f aca="false">D14*(1-Assumptions!$B$20)+E13</f>
        <v>8.851097</v>
      </c>
      <c r="F14" s="25" t="n">
        <f aca="false">E14*(1-Assumptions!$B$20)+F13</f>
        <v>10.76258603</v>
      </c>
      <c r="G14" s="25" t="n">
        <f aca="false">F14*(1-Assumptions!$B$20)+G13</f>
        <v>12.6549601697</v>
      </c>
      <c r="H14" s="25" t="n">
        <f aca="false">G14*(1-Assumptions!$B$20)+H13</f>
        <v>14.528410568003</v>
      </c>
      <c r="I14" s="25" t="n">
        <f aca="false">H14*(1-Assumptions!$B$20)+I13</f>
        <v>16.383126462323</v>
      </c>
      <c r="J14" s="25" t="n">
        <f aca="false">I14*(1-Assumptions!$B$20)+J13</f>
        <v>18.2192951976997</v>
      </c>
      <c r="K14" s="25" t="n">
        <f aca="false">J14*(1-Assumptions!$B$20)+K13</f>
        <v>20.0371022457227</v>
      </c>
      <c r="L14" s="25" t="n">
        <f aca="false">K14*(1-Assumptions!$B$20)+L13</f>
        <v>21.8367312232655</v>
      </c>
      <c r="M14" s="25" t="n">
        <f aca="false">L14*(1-Assumptions!$B$20)+M13</f>
        <v>23.6183639110329</v>
      </c>
    </row>
    <row r="15" customFormat="false" ht="15" hidden="false" customHeight="false" outlineLevel="0" collapsed="false">
      <c r="A15" s="26" t="s">
        <v>114</v>
      </c>
      <c r="B15" s="15" t="n">
        <f aca="false">B14*Assumptions!$B$19</f>
        <v>675000</v>
      </c>
      <c r="C15" s="15" t="n">
        <f aca="false">C14*Assumptions!$B$19</f>
        <v>1118250</v>
      </c>
      <c r="D15" s="15" t="n">
        <f aca="false">D14*Assumptions!$B$19</f>
        <v>1557067.5</v>
      </c>
      <c r="E15" s="15" t="n">
        <f aca="false">E14*Assumptions!$B$19</f>
        <v>1991496.825</v>
      </c>
      <c r="F15" s="15" t="n">
        <f aca="false">F14*Assumptions!$B$19</f>
        <v>2421581.85675</v>
      </c>
      <c r="G15" s="15" t="n">
        <f aca="false">G14*Assumptions!$B$19</f>
        <v>2847366.0381825</v>
      </c>
      <c r="H15" s="15" t="n">
        <f aca="false">H14*Assumptions!$B$19</f>
        <v>3268892.37780067</v>
      </c>
      <c r="I15" s="15" t="n">
        <f aca="false">I14*Assumptions!$B$19</f>
        <v>3686203.45402267</v>
      </c>
      <c r="J15" s="15" t="n">
        <f aca="false">J14*Assumptions!$B$19</f>
        <v>4099341.41948244</v>
      </c>
      <c r="K15" s="15" t="n">
        <f aca="false">K14*Assumptions!$B$19</f>
        <v>4508348.00528762</v>
      </c>
      <c r="L15" s="15" t="n">
        <f aca="false">L14*Assumptions!$B$19</f>
        <v>4913264.52523474</v>
      </c>
      <c r="M15" s="15" t="n">
        <f aca="false">M14*Assumptions!$B$19</f>
        <v>5314131.87998239</v>
      </c>
    </row>
    <row r="17" customFormat="false" ht="18" hidden="false" customHeight="true" outlineLevel="0" collapsed="false">
      <c r="A17" s="18" t="s">
        <v>71</v>
      </c>
      <c r="B17" s="18"/>
      <c r="C17" s="18"/>
      <c r="D17" s="18"/>
      <c r="E17" s="18"/>
      <c r="F17" s="18"/>
      <c r="G17" s="18"/>
      <c r="H17" s="18"/>
      <c r="I17" s="18"/>
      <c r="J17" s="18"/>
      <c r="K17" s="18"/>
      <c r="L17" s="18"/>
      <c r="M17" s="18"/>
    </row>
    <row r="18" customFormat="false" ht="15" hidden="false" customHeight="false" outlineLevel="0" collapsed="false">
      <c r="A18" s="7" t="s">
        <v>115</v>
      </c>
      <c r="B18" s="25" t="n">
        <f aca="false">Assumptions!$B$23</f>
        <v>50</v>
      </c>
      <c r="C18" s="25" t="n">
        <f aca="false">B18*(1+Assumptions!$B$24)</f>
        <v>52.5</v>
      </c>
      <c r="D18" s="25" t="n">
        <f aca="false">C18*(1+Assumptions!$B$24)</f>
        <v>55.125</v>
      </c>
      <c r="E18" s="25" t="n">
        <f aca="false">D18*(1+Assumptions!$B$24)</f>
        <v>57.88125</v>
      </c>
      <c r="F18" s="25" t="n">
        <f aca="false">E18*(1+Assumptions!$B$24)</f>
        <v>60.7753125</v>
      </c>
      <c r="G18" s="25" t="n">
        <f aca="false">F18*(1+Assumptions!$B$24)</f>
        <v>63.814078125</v>
      </c>
      <c r="H18" s="25" t="n">
        <f aca="false">G18*(1+Assumptions!$B$24)</f>
        <v>67.00478203125</v>
      </c>
      <c r="I18" s="25" t="n">
        <f aca="false">H18*(1+Assumptions!$B$24)</f>
        <v>70.3550211328125</v>
      </c>
      <c r="J18" s="25" t="n">
        <f aca="false">I18*(1+Assumptions!$B$24)</f>
        <v>73.8727721894532</v>
      </c>
      <c r="K18" s="25" t="n">
        <f aca="false">J18*(1+Assumptions!$B$24)</f>
        <v>77.5664107989258</v>
      </c>
      <c r="L18" s="25" t="n">
        <f aca="false">K18*(1+Assumptions!$B$24)</f>
        <v>81.4447313388721</v>
      </c>
      <c r="M18" s="25" t="n">
        <f aca="false">L18*(1+Assumptions!$B$24)</f>
        <v>85.5169679058157</v>
      </c>
    </row>
    <row r="19" customFormat="false" ht="15" hidden="false" customHeight="false" outlineLevel="0" collapsed="false">
      <c r="A19" s="26" t="s">
        <v>116</v>
      </c>
      <c r="B19" s="15" t="n">
        <f aca="false">B18*Assumptions!$B$25</f>
        <v>750000</v>
      </c>
      <c r="C19" s="15" t="n">
        <f aca="false">C18*Assumptions!$B$25</f>
        <v>787500</v>
      </c>
      <c r="D19" s="15" t="n">
        <f aca="false">D18*Assumptions!$B$25</f>
        <v>826875</v>
      </c>
      <c r="E19" s="15" t="n">
        <f aca="false">E18*Assumptions!$B$25</f>
        <v>868218.75</v>
      </c>
      <c r="F19" s="15" t="n">
        <f aca="false">F18*Assumptions!$B$25</f>
        <v>911629.6875</v>
      </c>
      <c r="G19" s="15" t="n">
        <f aca="false">G18*Assumptions!$B$25</f>
        <v>957211.171875</v>
      </c>
      <c r="H19" s="15" t="n">
        <f aca="false">H18*Assumptions!$B$25</f>
        <v>1005071.73046875</v>
      </c>
      <c r="I19" s="15" t="n">
        <f aca="false">I18*Assumptions!$B$25</f>
        <v>1055325.31699219</v>
      </c>
      <c r="J19" s="15" t="n">
        <f aca="false">J18*Assumptions!$B$25</f>
        <v>1108091.5828418</v>
      </c>
      <c r="K19" s="15" t="n">
        <f aca="false">K18*Assumptions!$B$25</f>
        <v>1163496.16198389</v>
      </c>
      <c r="L19" s="15" t="n">
        <f aca="false">L18*Assumptions!$B$25</f>
        <v>1221670.97008308</v>
      </c>
      <c r="M19" s="15" t="n">
        <f aca="false">M18*Assumptions!$B$25</f>
        <v>1282754.51858724</v>
      </c>
    </row>
    <row r="21" customFormat="false" ht="18" hidden="false" customHeight="true" outlineLevel="0" collapsed="false">
      <c r="A21" s="18" t="s">
        <v>76</v>
      </c>
      <c r="B21" s="18"/>
      <c r="C21" s="18"/>
      <c r="D21" s="18"/>
      <c r="E21" s="18"/>
      <c r="F21" s="18"/>
      <c r="G21" s="18"/>
      <c r="H21" s="18"/>
      <c r="I21" s="18"/>
      <c r="J21" s="18"/>
      <c r="K21" s="18"/>
      <c r="L21" s="18"/>
      <c r="M21" s="18"/>
    </row>
    <row r="22" customFormat="false" ht="15" hidden="false" customHeight="false" outlineLevel="0" collapsed="false">
      <c r="A22" s="26" t="s">
        <v>117</v>
      </c>
      <c r="B22" s="15" t="n">
        <f aca="false">0</f>
        <v>0</v>
      </c>
      <c r="C22" s="15" t="n">
        <f aca="false">0</f>
        <v>0</v>
      </c>
      <c r="D22" s="15" t="n">
        <f aca="false">Assumptions!$B$28</f>
        <v>22500000</v>
      </c>
      <c r="E22" s="15" t="n">
        <f aca="false">0</f>
        <v>0</v>
      </c>
      <c r="F22" s="15" t="n">
        <f aca="false">0</f>
        <v>0</v>
      </c>
      <c r="G22" s="15" t="n">
        <f aca="false">Assumptions!$B$28</f>
        <v>22500000</v>
      </c>
      <c r="H22" s="15" t="n">
        <f aca="false">0</f>
        <v>0</v>
      </c>
      <c r="I22" s="15" t="n">
        <f aca="false">0</f>
        <v>0</v>
      </c>
      <c r="J22" s="15" t="n">
        <f aca="false">Assumptions!$B$28</f>
        <v>22500000</v>
      </c>
      <c r="K22" s="15" t="n">
        <f aca="false">0</f>
        <v>0</v>
      </c>
      <c r="L22" s="15" t="n">
        <f aca="false">0</f>
        <v>0</v>
      </c>
      <c r="M22" s="15" t="n">
        <f aca="false">Assumptions!$B$28</f>
        <v>22500000</v>
      </c>
    </row>
    <row r="24" customFormat="false" ht="15" hidden="false" customHeight="false" outlineLevel="0" collapsed="false">
      <c r="A24" s="9" t="s">
        <v>118</v>
      </c>
      <c r="B24" s="27" t="n">
        <f aca="false">B10+B15+B19+B22</f>
        <v>1605000</v>
      </c>
      <c r="C24" s="27" t="n">
        <f aca="false">C10+C15+C19+C22</f>
        <v>2272950</v>
      </c>
      <c r="D24" s="27" t="n">
        <f aca="false">D10+D15+D19+D22</f>
        <v>25446406.5</v>
      </c>
      <c r="E24" s="27" t="n">
        <f aca="false">E10+E15+E19+E22</f>
        <v>3626429.175</v>
      </c>
      <c r="F24" s="27" t="n">
        <f aca="false">F10+F15+F19+F22</f>
        <v>4314144.61305</v>
      </c>
      <c r="G24" s="27" t="n">
        <f aca="false">G10+G15+G19+G22</f>
        <v>27510752.0099295</v>
      </c>
      <c r="H24" s="27" t="n">
        <f aca="false">H10+H15+H19+H22</f>
        <v>5717529.29427647</v>
      </c>
      <c r="I24" s="27" t="n">
        <f aca="false">I10+I15+I19+I22</f>
        <v>6435839.71796193</v>
      </c>
      <c r="J24" s="27" t="n">
        <f aca="false">J10+J15+J19+J22</f>
        <v>29667138.9492442</v>
      </c>
      <c r="K24" s="27" t="n">
        <f aca="false">K10+K15+K19+K22</f>
        <v>7912982.70919344</v>
      </c>
      <c r="L24" s="27" t="n">
        <f aca="false">L10+L15+L19+L22</f>
        <v>8675034.99507198</v>
      </c>
      <c r="M24" s="27" t="n">
        <f aca="false">M10+M15+M19+M22</f>
        <v>31955076.9378034</v>
      </c>
    </row>
  </sheetData>
  <mergeCells count="6">
    <mergeCell ref="A1:M1"/>
    <mergeCell ref="A2:M2"/>
    <mergeCell ref="A5:M5"/>
    <mergeCell ref="A12:M12"/>
    <mergeCell ref="A17:M17"/>
    <mergeCell ref="A21:M21"/>
  </mergeCells>
  <printOptions headings="false" gridLines="false" gridLinesSet="true" horizontalCentered="false" verticalCentered="false"/>
  <pageMargins left="0.3" right="0.3" top="0.4" bottom="0.4"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M1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13" min="2" style="0" width="13"/>
  </cols>
  <sheetData>
    <row r="1" customFormat="false" ht="25.5" hidden="false" customHeight="true" outlineLevel="0" collapsed="false">
      <c r="A1" s="1" t="s">
        <v>119</v>
      </c>
      <c r="B1" s="1"/>
      <c r="C1" s="1"/>
      <c r="D1" s="1"/>
      <c r="E1" s="1"/>
      <c r="F1" s="1"/>
      <c r="G1" s="1"/>
      <c r="H1" s="1"/>
      <c r="I1" s="1"/>
      <c r="J1" s="1"/>
      <c r="K1" s="1"/>
      <c r="L1" s="1"/>
      <c r="M1" s="1"/>
    </row>
    <row r="2" customFormat="false" ht="15" hidden="false" customHeight="false" outlineLevel="0" collapsed="false">
      <c r="A2" s="2" t="s">
        <v>120</v>
      </c>
      <c r="B2" s="2"/>
      <c r="C2" s="2"/>
      <c r="D2" s="2"/>
      <c r="E2" s="2"/>
      <c r="F2" s="2"/>
      <c r="G2" s="2"/>
      <c r="H2" s="2"/>
      <c r="I2" s="2"/>
      <c r="J2" s="2"/>
      <c r="K2" s="2"/>
      <c r="L2" s="2"/>
      <c r="M2" s="2"/>
    </row>
    <row r="3" customFormat="false" ht="15.75" hidden="false" customHeight="true" outlineLevel="0" collapsed="false">
      <c r="A3" s="17"/>
      <c r="B3" s="14" t="s">
        <v>95</v>
      </c>
      <c r="C3" s="14" t="s">
        <v>96</v>
      </c>
      <c r="D3" s="14" t="s">
        <v>97</v>
      </c>
      <c r="E3" s="14" t="s">
        <v>98</v>
      </c>
      <c r="F3" s="14" t="s">
        <v>99</v>
      </c>
      <c r="G3" s="14" t="s">
        <v>100</v>
      </c>
      <c r="H3" s="14" t="s">
        <v>101</v>
      </c>
      <c r="I3" s="14" t="s">
        <v>102</v>
      </c>
      <c r="J3" s="14" t="s">
        <v>103</v>
      </c>
      <c r="K3" s="14" t="s">
        <v>104</v>
      </c>
      <c r="L3" s="14" t="s">
        <v>105</v>
      </c>
      <c r="M3" s="14" t="s">
        <v>106</v>
      </c>
    </row>
    <row r="5" customFormat="false" ht="15" hidden="false" customHeight="false" outlineLevel="0" collapsed="false">
      <c r="A5" s="7" t="s">
        <v>121</v>
      </c>
      <c r="B5" s="15" t="n">
        <f aca="false">Assumptions!$B$31</f>
        <v>18000000</v>
      </c>
      <c r="C5" s="15" t="n">
        <f aca="false">B5</f>
        <v>18000000</v>
      </c>
      <c r="D5" s="15" t="n">
        <f aca="false">C5</f>
        <v>18000000</v>
      </c>
      <c r="E5" s="15" t="n">
        <f aca="false">D5*(1+Assumptions!$B$32)</f>
        <v>18540000</v>
      </c>
      <c r="F5" s="15" t="n">
        <f aca="false">E5</f>
        <v>18540000</v>
      </c>
      <c r="G5" s="15" t="n">
        <f aca="false">F5</f>
        <v>18540000</v>
      </c>
      <c r="H5" s="15" t="n">
        <f aca="false">G5*(1+Assumptions!$B$32)</f>
        <v>19096200</v>
      </c>
      <c r="I5" s="15" t="n">
        <f aca="false">H5</f>
        <v>19096200</v>
      </c>
      <c r="J5" s="15" t="n">
        <f aca="false">I5</f>
        <v>19096200</v>
      </c>
      <c r="K5" s="15" t="n">
        <f aca="false">J5*(1+Assumptions!$B$32)</f>
        <v>19669086</v>
      </c>
      <c r="L5" s="15" t="n">
        <f aca="false">K5</f>
        <v>19669086</v>
      </c>
      <c r="M5" s="15" t="n">
        <f aca="false">L5</f>
        <v>19669086</v>
      </c>
    </row>
    <row r="6" customFormat="false" ht="15" hidden="false" customHeight="false" outlineLevel="0" collapsed="false">
      <c r="A6" s="7" t="s">
        <v>122</v>
      </c>
      <c r="B6" s="28" t="n">
        <f aca="false">Assumptions!$B$33+Assumptions!$B$34*'Revenue Model'!B7</f>
        <v>2310000</v>
      </c>
      <c r="C6" s="28" t="n">
        <f aca="false">Assumptions!$B$33+Assumptions!$B$34*'Revenue Model'!C7</f>
        <v>2374800</v>
      </c>
      <c r="D6" s="28" t="n">
        <f aca="false">Assumptions!$B$33+Assumptions!$B$34*'Revenue Model'!D7</f>
        <v>2444784</v>
      </c>
      <c r="E6" s="28" t="n">
        <f aca="false">Assumptions!$B$33+Assumptions!$B$34*'Revenue Model'!E7</f>
        <v>2520366.72</v>
      </c>
      <c r="F6" s="28" t="n">
        <f aca="false">Assumptions!$B$33+Assumptions!$B$34*'Revenue Model'!F7</f>
        <v>2601996.0576</v>
      </c>
      <c r="G6" s="28" t="n">
        <f aca="false">Assumptions!$B$33+Assumptions!$B$34*'Revenue Model'!G7</f>
        <v>2690155.742208</v>
      </c>
      <c r="H6" s="28" t="n">
        <f aca="false">Assumptions!$B$33+Assumptions!$B$34*'Revenue Model'!H7</f>
        <v>2785368.20158464</v>
      </c>
      <c r="I6" s="28" t="n">
        <f aca="false">Assumptions!$B$33+Assumptions!$B$34*'Revenue Model'!I7</f>
        <v>2888197.65771141</v>
      </c>
      <c r="J6" s="28" t="n">
        <f aca="false">Assumptions!$B$33+Assumptions!$B$34*'Revenue Model'!J7</f>
        <v>2999253.47032832</v>
      </c>
      <c r="K6" s="28" t="n">
        <f aca="false">Assumptions!$B$33+Assumptions!$B$34*'Revenue Model'!K7</f>
        <v>3119193.74795459</v>
      </c>
      <c r="L6" s="28" t="n">
        <f aca="false">Assumptions!$B$33+Assumptions!$B$34*'Revenue Model'!L7</f>
        <v>3248729.24779096</v>
      </c>
      <c r="M6" s="28" t="n">
        <f aca="false">Assumptions!$B$33+Assumptions!$B$34*'Revenue Model'!M7</f>
        <v>3388627.58761423</v>
      </c>
    </row>
    <row r="7" customFormat="false" ht="15" hidden="false" customHeight="false" outlineLevel="0" collapsed="false">
      <c r="A7" s="7" t="s">
        <v>123</v>
      </c>
      <c r="B7" s="28" t="n">
        <f aca="false">Assumptions!$B$35+Assumptions!$B$36*'Revenue Model'!B24</f>
        <v>1628400</v>
      </c>
      <c r="C7" s="28" t="n">
        <f aca="false">Assumptions!$B$35+Assumptions!$B$36*'Revenue Model'!C24</f>
        <v>1681836</v>
      </c>
      <c r="D7" s="28" t="n">
        <f aca="false">Assumptions!$B$35+Assumptions!$B$36*'Revenue Model'!D24</f>
        <v>3535712.52</v>
      </c>
      <c r="E7" s="28" t="n">
        <f aca="false">Assumptions!$B$35+Assumptions!$B$36*'Revenue Model'!E24</f>
        <v>1790114.334</v>
      </c>
      <c r="F7" s="28" t="n">
        <f aca="false">Assumptions!$B$35+Assumptions!$B$36*'Revenue Model'!F24</f>
        <v>1845131.569044</v>
      </c>
      <c r="G7" s="28" t="n">
        <f aca="false">Assumptions!$B$35+Assumptions!$B$36*'Revenue Model'!G24</f>
        <v>3700860.16079436</v>
      </c>
      <c r="H7" s="28" t="n">
        <f aca="false">Assumptions!$B$35+Assumptions!$B$36*'Revenue Model'!H24</f>
        <v>1957402.34354212</v>
      </c>
      <c r="I7" s="28" t="n">
        <f aca="false">Assumptions!$B$35+Assumptions!$B$36*'Revenue Model'!I24</f>
        <v>2014867.17743695</v>
      </c>
      <c r="J7" s="28" t="n">
        <f aca="false">Assumptions!$B$35+Assumptions!$B$36*'Revenue Model'!J24</f>
        <v>3873371.11593953</v>
      </c>
      <c r="K7" s="28" t="n">
        <f aca="false">Assumptions!$B$35+Assumptions!$B$36*'Revenue Model'!K24</f>
        <v>2133038.61673547</v>
      </c>
      <c r="L7" s="28" t="n">
        <f aca="false">Assumptions!$B$35+Assumptions!$B$36*'Revenue Model'!L24</f>
        <v>2194002.79960576</v>
      </c>
      <c r="M7" s="28" t="n">
        <f aca="false">Assumptions!$B$35+Assumptions!$B$36*'Revenue Model'!M24</f>
        <v>4056406.15502428</v>
      </c>
    </row>
    <row r="8" customFormat="false" ht="15" hidden="false" customHeight="false" outlineLevel="0" collapsed="false">
      <c r="A8" s="7" t="s">
        <v>124</v>
      </c>
      <c r="B8" s="15" t="n">
        <f aca="false">Assumptions!$B$37</f>
        <v>1200000</v>
      </c>
      <c r="C8" s="15" t="n">
        <f aca="false">Assumptions!$B$37</f>
        <v>1200000</v>
      </c>
      <c r="D8" s="15" t="n">
        <f aca="false">Assumptions!$B$37</f>
        <v>1200000</v>
      </c>
      <c r="E8" s="15" t="n">
        <f aca="false">Assumptions!$B$37</f>
        <v>1200000</v>
      </c>
      <c r="F8" s="15" t="n">
        <f aca="false">Assumptions!$B$37</f>
        <v>1200000</v>
      </c>
      <c r="G8" s="15" t="n">
        <f aca="false">Assumptions!$B$37</f>
        <v>1200000</v>
      </c>
      <c r="H8" s="15" t="n">
        <f aca="false">Assumptions!$B$37</f>
        <v>1200000</v>
      </c>
      <c r="I8" s="15" t="n">
        <f aca="false">Assumptions!$B$37</f>
        <v>1200000</v>
      </c>
      <c r="J8" s="15" t="n">
        <f aca="false">Assumptions!$B$37</f>
        <v>1200000</v>
      </c>
      <c r="K8" s="15" t="n">
        <f aca="false">Assumptions!$B$37</f>
        <v>1200000</v>
      </c>
      <c r="L8" s="15" t="n">
        <f aca="false">Assumptions!$B$37</f>
        <v>1200000</v>
      </c>
      <c r="M8" s="15" t="n">
        <f aca="false">Assumptions!$B$37</f>
        <v>1200000</v>
      </c>
    </row>
    <row r="9" customFormat="false" ht="15" hidden="false" customHeight="false" outlineLevel="0" collapsed="false">
      <c r="A9" s="26" t="s">
        <v>125</v>
      </c>
      <c r="B9" s="27" t="n">
        <f aca="false">SUM(B5:B8)</f>
        <v>23138400</v>
      </c>
      <c r="C9" s="27" t="n">
        <f aca="false">SUM(C5:C8)</f>
        <v>23256636</v>
      </c>
      <c r="D9" s="27" t="n">
        <f aca="false">SUM(D5:D8)</f>
        <v>25180496.52</v>
      </c>
      <c r="E9" s="27" t="n">
        <f aca="false">SUM(E5:E8)</f>
        <v>24050481.054</v>
      </c>
      <c r="F9" s="27" t="n">
        <f aca="false">SUM(F5:F8)</f>
        <v>24187127.626644</v>
      </c>
      <c r="G9" s="27" t="n">
        <f aca="false">SUM(G5:G8)</f>
        <v>26131015.9030024</v>
      </c>
      <c r="H9" s="27" t="n">
        <f aca="false">SUM(H5:H8)</f>
        <v>25038970.5451268</v>
      </c>
      <c r="I9" s="27" t="n">
        <f aca="false">SUM(I5:I8)</f>
        <v>25199264.8351484</v>
      </c>
      <c r="J9" s="27" t="n">
        <f aca="false">SUM(J5:J8)</f>
        <v>27168824.5862679</v>
      </c>
      <c r="K9" s="27" t="n">
        <f aca="false">SUM(K5:K8)</f>
        <v>26121318.3646901</v>
      </c>
      <c r="L9" s="27" t="n">
        <f aca="false">SUM(L5:L8)</f>
        <v>26311818.0473967</v>
      </c>
      <c r="M9" s="27" t="n">
        <f aca="false">SUM(M5:M8)</f>
        <v>28314119.7426385</v>
      </c>
    </row>
    <row r="10" customFormat="false" ht="15" hidden="false" customHeight="false" outlineLevel="0" collapsed="false">
      <c r="A10" s="7" t="s">
        <v>126</v>
      </c>
      <c r="B10" s="15" t="n">
        <f aca="false">B9*Assumptions!$B$38</f>
        <v>1156920</v>
      </c>
      <c r="C10" s="15" t="n">
        <f aca="false">C9*Assumptions!$B$38</f>
        <v>1162831.8</v>
      </c>
      <c r="D10" s="15" t="n">
        <f aca="false">D9*Assumptions!$B$38</f>
        <v>1259024.826</v>
      </c>
      <c r="E10" s="15" t="n">
        <f aca="false">E9*Assumptions!$B$38</f>
        <v>1202524.0527</v>
      </c>
      <c r="F10" s="15" t="n">
        <f aca="false">F9*Assumptions!$B$38</f>
        <v>1209356.3813322</v>
      </c>
      <c r="G10" s="15" t="n">
        <f aca="false">G9*Assumptions!$B$38</f>
        <v>1306550.79515012</v>
      </c>
      <c r="H10" s="15" t="n">
        <f aca="false">H9*Assumptions!$B$38</f>
        <v>1251948.52725634</v>
      </c>
      <c r="I10" s="15" t="n">
        <f aca="false">I9*Assumptions!$B$38</f>
        <v>1259963.24175742</v>
      </c>
      <c r="J10" s="15" t="n">
        <f aca="false">J9*Assumptions!$B$38</f>
        <v>1358441.22931339</v>
      </c>
      <c r="K10" s="15" t="n">
        <f aca="false">K9*Assumptions!$B$38</f>
        <v>1306065.9182345</v>
      </c>
      <c r="L10" s="15" t="n">
        <f aca="false">L9*Assumptions!$B$38</f>
        <v>1315590.90236984</v>
      </c>
      <c r="M10" s="15" t="n">
        <f aca="false">M9*Assumptions!$B$38</f>
        <v>1415705.98713193</v>
      </c>
    </row>
    <row r="12" customFormat="false" ht="15" hidden="false" customHeight="false" outlineLevel="0" collapsed="false">
      <c r="A12" s="9" t="s">
        <v>127</v>
      </c>
      <c r="B12" s="27" t="n">
        <f aca="false">B9+B10</f>
        <v>24295320</v>
      </c>
      <c r="C12" s="27" t="n">
        <f aca="false">C9+C10</f>
        <v>24419467.8</v>
      </c>
      <c r="D12" s="27" t="n">
        <f aca="false">D9+D10</f>
        <v>26439521.346</v>
      </c>
      <c r="E12" s="27" t="n">
        <f aca="false">E9+E10</f>
        <v>25253005.1067</v>
      </c>
      <c r="F12" s="27" t="n">
        <f aca="false">F9+F10</f>
        <v>25396484.0079762</v>
      </c>
      <c r="G12" s="27" t="n">
        <f aca="false">G9+G10</f>
        <v>27437566.6981525</v>
      </c>
      <c r="H12" s="27" t="n">
        <f aca="false">H9+H10</f>
        <v>26290919.0723831</v>
      </c>
      <c r="I12" s="27" t="n">
        <f aca="false">I9+I10</f>
        <v>26459228.0769058</v>
      </c>
      <c r="J12" s="27" t="n">
        <f aca="false">J9+J10</f>
        <v>28527265.8155813</v>
      </c>
      <c r="K12" s="27" t="n">
        <f aca="false">K9+K10</f>
        <v>27427384.2829246</v>
      </c>
      <c r="L12" s="27" t="n">
        <f aca="false">L9+L10</f>
        <v>27627408.9497666</v>
      </c>
      <c r="M12" s="27" t="n">
        <f aca="false">M9+M10</f>
        <v>29729825.7297704</v>
      </c>
    </row>
  </sheetData>
  <mergeCells count="2">
    <mergeCell ref="A1:M1"/>
    <mergeCell ref="A2:M2"/>
  </mergeCells>
  <printOptions headings="false" gridLines="false" gridLinesSet="true" horizontalCentered="false" verticalCentered="false"/>
  <pageMargins left="0.3" right="0.3" top="0.4" bottom="0.4"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M1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13" min="2" style="0" width="13"/>
  </cols>
  <sheetData>
    <row r="1" customFormat="false" ht="25.5" hidden="false" customHeight="true" outlineLevel="0" collapsed="false">
      <c r="A1" s="1" t="s">
        <v>128</v>
      </c>
      <c r="B1" s="1"/>
      <c r="C1" s="1"/>
      <c r="D1" s="1"/>
      <c r="E1" s="1"/>
      <c r="F1" s="1"/>
      <c r="G1" s="1"/>
      <c r="H1" s="1"/>
      <c r="I1" s="1"/>
      <c r="J1" s="1"/>
      <c r="K1" s="1"/>
      <c r="L1" s="1"/>
      <c r="M1" s="1"/>
    </row>
    <row r="2" customFormat="false" ht="15" hidden="false" customHeight="false" outlineLevel="0" collapsed="false">
      <c r="A2" s="2" t="s">
        <v>129</v>
      </c>
      <c r="B2" s="2"/>
      <c r="C2" s="2"/>
      <c r="D2" s="2"/>
      <c r="E2" s="2"/>
      <c r="F2" s="2"/>
      <c r="G2" s="2"/>
      <c r="H2" s="2"/>
      <c r="I2" s="2"/>
      <c r="J2" s="2"/>
      <c r="K2" s="2"/>
      <c r="L2" s="2"/>
      <c r="M2" s="2"/>
    </row>
    <row r="3" customFormat="false" ht="15.75" hidden="false" customHeight="true" outlineLevel="0" collapsed="false">
      <c r="A3" s="17"/>
      <c r="B3" s="14" t="s">
        <v>95</v>
      </c>
      <c r="C3" s="14" t="s">
        <v>96</v>
      </c>
      <c r="D3" s="14" t="s">
        <v>97</v>
      </c>
      <c r="E3" s="14" t="s">
        <v>98</v>
      </c>
      <c r="F3" s="14" t="s">
        <v>99</v>
      </c>
      <c r="G3" s="14" t="s">
        <v>100</v>
      </c>
      <c r="H3" s="14" t="s">
        <v>101</v>
      </c>
      <c r="I3" s="14" t="s">
        <v>102</v>
      </c>
      <c r="J3" s="14" t="s">
        <v>103</v>
      </c>
      <c r="K3" s="14" t="s">
        <v>104</v>
      </c>
      <c r="L3" s="14" t="s">
        <v>105</v>
      </c>
      <c r="M3" s="14" t="s">
        <v>106</v>
      </c>
    </row>
    <row r="5" customFormat="false" ht="15" hidden="false" customHeight="false" outlineLevel="0" collapsed="false">
      <c r="A5" s="7" t="s">
        <v>130</v>
      </c>
      <c r="B5" s="15" t="n">
        <f aca="false">Assumptions!$B$7</f>
        <v>75000000</v>
      </c>
      <c r="C5" s="15" t="n">
        <f aca="false">B10</f>
        <v>52309680</v>
      </c>
      <c r="D5" s="15" t="n">
        <f aca="false">C10</f>
        <v>30163162.2</v>
      </c>
      <c r="E5" s="15" t="n">
        <f aca="false">D10</f>
        <v>29170047.354</v>
      </c>
      <c r="F5" s="15" t="n">
        <f aca="false">E10</f>
        <v>7543471.4223</v>
      </c>
      <c r="G5" s="15" t="n">
        <f aca="false">F10</f>
        <v>-13538867.9726262</v>
      </c>
      <c r="H5" s="15" t="n">
        <f aca="false">G10</f>
        <v>-13465682.6608492</v>
      </c>
      <c r="I5" s="15" t="n">
        <f aca="false">H10</f>
        <v>-34039072.4389558</v>
      </c>
      <c r="J5" s="15" t="n">
        <f aca="false">I10</f>
        <v>-54062460.7978997</v>
      </c>
      <c r="K5" s="15" t="n">
        <f aca="false">J10</f>
        <v>-52922587.6642368</v>
      </c>
      <c r="L5" s="15" t="n">
        <f aca="false">K10</f>
        <v>-72436989.2379679</v>
      </c>
      <c r="M5" s="15" t="n">
        <f aca="false">L10</f>
        <v>-91389363.1926625</v>
      </c>
    </row>
    <row r="6" customFormat="false" ht="15" hidden="false" customHeight="false" outlineLevel="0" collapsed="false">
      <c r="A6" s="7" t="s">
        <v>131</v>
      </c>
      <c r="B6" s="28" t="n">
        <f aca="false">'Revenue Model'!B24</f>
        <v>1605000</v>
      </c>
      <c r="C6" s="28" t="n">
        <f aca="false">'Revenue Model'!C24</f>
        <v>2272950</v>
      </c>
      <c r="D6" s="28" t="n">
        <f aca="false">'Revenue Model'!D24</f>
        <v>25446406.5</v>
      </c>
      <c r="E6" s="28" t="n">
        <f aca="false">'Revenue Model'!E24</f>
        <v>3626429.175</v>
      </c>
      <c r="F6" s="28" t="n">
        <f aca="false">'Revenue Model'!F24</f>
        <v>4314144.61305</v>
      </c>
      <c r="G6" s="28" t="n">
        <f aca="false">'Revenue Model'!G24</f>
        <v>27510752.0099295</v>
      </c>
      <c r="H6" s="28" t="n">
        <f aca="false">'Revenue Model'!H24</f>
        <v>5717529.29427647</v>
      </c>
      <c r="I6" s="28" t="n">
        <f aca="false">'Revenue Model'!I24</f>
        <v>6435839.71796193</v>
      </c>
      <c r="J6" s="28" t="n">
        <f aca="false">'Revenue Model'!J24</f>
        <v>29667138.9492442</v>
      </c>
      <c r="K6" s="28" t="n">
        <f aca="false">'Revenue Model'!K24</f>
        <v>7912982.70919344</v>
      </c>
      <c r="L6" s="28" t="n">
        <f aca="false">'Revenue Model'!L24</f>
        <v>8675034.99507198</v>
      </c>
      <c r="M6" s="28" t="n">
        <f aca="false">'Revenue Model'!M24</f>
        <v>31955076.9378034</v>
      </c>
    </row>
    <row r="7" customFormat="false" ht="15" hidden="false" customHeight="false" outlineLevel="0" collapsed="false">
      <c r="A7" s="7" t="s">
        <v>132</v>
      </c>
      <c r="B7" s="28" t="n">
        <f aca="false">OpEx!B12</f>
        <v>24295320</v>
      </c>
      <c r="C7" s="28" t="n">
        <f aca="false">OpEx!C12</f>
        <v>24419467.8</v>
      </c>
      <c r="D7" s="28" t="n">
        <f aca="false">OpEx!D12</f>
        <v>26439521.346</v>
      </c>
      <c r="E7" s="28" t="n">
        <f aca="false">OpEx!E12</f>
        <v>25253005.1067</v>
      </c>
      <c r="F7" s="28" t="n">
        <f aca="false">OpEx!F12</f>
        <v>25396484.0079762</v>
      </c>
      <c r="G7" s="28" t="n">
        <f aca="false">OpEx!G12</f>
        <v>27437566.6981525</v>
      </c>
      <c r="H7" s="28" t="n">
        <f aca="false">OpEx!H12</f>
        <v>26290919.0723831</v>
      </c>
      <c r="I7" s="28" t="n">
        <f aca="false">OpEx!I12</f>
        <v>26459228.0769058</v>
      </c>
      <c r="J7" s="28" t="n">
        <f aca="false">OpEx!J12</f>
        <v>28527265.8155813</v>
      </c>
      <c r="K7" s="28" t="n">
        <f aca="false">OpEx!K12</f>
        <v>27427384.2829246</v>
      </c>
      <c r="L7" s="28" t="n">
        <f aca="false">OpEx!L12</f>
        <v>27627408.9497666</v>
      </c>
      <c r="M7" s="28" t="n">
        <f aca="false">OpEx!M12</f>
        <v>29729825.7297704</v>
      </c>
    </row>
    <row r="8" customFormat="false" ht="15" hidden="false" customHeight="false" outlineLevel="0" collapsed="false">
      <c r="A8" s="26" t="s">
        <v>133</v>
      </c>
      <c r="B8" s="29" t="n">
        <f aca="false">B6-B7</f>
        <v>-22690320</v>
      </c>
      <c r="C8" s="29" t="n">
        <f aca="false">C6-C7</f>
        <v>-22146517.8</v>
      </c>
      <c r="D8" s="29" t="n">
        <f aca="false">D6-D7</f>
        <v>-993114.846000001</v>
      </c>
      <c r="E8" s="29" t="n">
        <f aca="false">E6-E7</f>
        <v>-21626575.9317</v>
      </c>
      <c r="F8" s="29" t="n">
        <f aca="false">F6-F7</f>
        <v>-21082339.3949262</v>
      </c>
      <c r="G8" s="29" t="n">
        <f aca="false">G6-G7</f>
        <v>73185.3117770255</v>
      </c>
      <c r="H8" s="29" t="n">
        <f aca="false">H6-H7</f>
        <v>-20573389.7781066</v>
      </c>
      <c r="I8" s="29" t="n">
        <f aca="false">I6-I7</f>
        <v>-20023388.3589439</v>
      </c>
      <c r="J8" s="29" t="n">
        <f aca="false">J6-J7</f>
        <v>1139873.13366292</v>
      </c>
      <c r="K8" s="29" t="n">
        <f aca="false">K6-K7</f>
        <v>-19514401.5737311</v>
      </c>
      <c r="L8" s="29" t="n">
        <f aca="false">L6-L7</f>
        <v>-18952373.9546946</v>
      </c>
      <c r="M8" s="29" t="n">
        <f aca="false">M6-M7</f>
        <v>2225251.20803301</v>
      </c>
    </row>
    <row r="10" customFormat="false" ht="15" hidden="false" customHeight="false" outlineLevel="0" collapsed="false">
      <c r="A10" s="9" t="s">
        <v>134</v>
      </c>
      <c r="B10" s="27" t="n">
        <f aca="false">B5+B8</f>
        <v>52309680</v>
      </c>
      <c r="C10" s="27" t="n">
        <f aca="false">C5+C8</f>
        <v>30163162.2</v>
      </c>
      <c r="D10" s="27" t="n">
        <f aca="false">D5+D8</f>
        <v>29170047.354</v>
      </c>
      <c r="E10" s="27" t="n">
        <f aca="false">E5+E8</f>
        <v>7543471.4223</v>
      </c>
      <c r="F10" s="27" t="n">
        <f aca="false">F5+F8</f>
        <v>-13538867.9726262</v>
      </c>
      <c r="G10" s="27" t="n">
        <f aca="false">G5+G8</f>
        <v>-13465682.6608492</v>
      </c>
      <c r="H10" s="27" t="n">
        <f aca="false">H5+H8</f>
        <v>-34039072.4389558</v>
      </c>
      <c r="I10" s="27" t="n">
        <f aca="false">I5+I8</f>
        <v>-54062460.7978997</v>
      </c>
      <c r="J10" s="27" t="n">
        <f aca="false">J5+J8</f>
        <v>-52922587.6642368</v>
      </c>
      <c r="K10" s="27" t="n">
        <f aca="false">K5+K8</f>
        <v>-72436989.2379679</v>
      </c>
      <c r="L10" s="27" t="n">
        <f aca="false">L5+L8</f>
        <v>-91389363.1926625</v>
      </c>
      <c r="M10" s="27" t="n">
        <f aca="false">M5+M8</f>
        <v>-89164111.9846294</v>
      </c>
    </row>
    <row r="12" customFormat="false" ht="15" hidden="false" customHeight="false" outlineLevel="0" collapsed="false">
      <c r="A12" s="3" t="s">
        <v>135</v>
      </c>
      <c r="B12" s="3"/>
      <c r="C12" s="3"/>
      <c r="D12" s="3"/>
      <c r="E12" s="3"/>
      <c r="F12" s="3"/>
      <c r="G12" s="3"/>
      <c r="H12" s="3"/>
      <c r="I12" s="3"/>
      <c r="J12" s="3"/>
      <c r="K12" s="3"/>
      <c r="L12" s="3"/>
      <c r="M12" s="3"/>
    </row>
    <row r="13" customFormat="false" ht="15" hidden="false" customHeight="false" outlineLevel="0" collapsed="false">
      <c r="A13" s="7" t="s">
        <v>136</v>
      </c>
      <c r="B13" s="15" t="n">
        <f aca="false">AVERAGE(B8:G8)</f>
        <v>-14744280.4434749</v>
      </c>
    </row>
    <row r="14" customFormat="false" ht="15" hidden="false" customHeight="false" outlineLevel="0" collapsed="false">
      <c r="A14" s="7" t="s">
        <v>137</v>
      </c>
      <c r="B14" s="30" t="n">
        <f aca="false">IF(B13&gt;=0,"Cash-flow positive",Assumptions!$B$7/-B13)</f>
        <v>5.08671822185745</v>
      </c>
    </row>
    <row r="15" customFormat="false" ht="15" hidden="false" customHeight="false" outlineLevel="0" collapsed="false">
      <c r="A15" s="7" t="s">
        <v>138</v>
      </c>
      <c r="B15" s="15" t="n">
        <f aca="false">MIN(B10:M10)</f>
        <v>-91389363.1926625</v>
      </c>
    </row>
    <row r="16" customFormat="false" ht="15" hidden="false" customHeight="false" outlineLevel="0" collapsed="false">
      <c r="A16" s="7" t="s">
        <v>139</v>
      </c>
      <c r="B16" s="31" t="n">
        <f aca="false">IF(B15&lt;0,-B15,0)</f>
        <v>91389363.1926625</v>
      </c>
    </row>
  </sheetData>
  <mergeCells count="3">
    <mergeCell ref="A1:M1"/>
    <mergeCell ref="A2:M2"/>
    <mergeCell ref="A12:M12"/>
  </mergeCells>
  <printOptions headings="false" gridLines="false" gridLinesSet="true" horizontalCentered="false" verticalCentered="false"/>
  <pageMargins left="0.3" right="0.3" top="0.4" bottom="0.4"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N2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14" min="2" style="0" width="13"/>
  </cols>
  <sheetData>
    <row r="1" customFormat="false" ht="25.5" hidden="false" customHeight="true" outlineLevel="0" collapsed="false">
      <c r="A1" s="1" t="s">
        <v>140</v>
      </c>
      <c r="B1" s="1"/>
      <c r="C1" s="1"/>
      <c r="D1" s="1"/>
      <c r="E1" s="1"/>
      <c r="F1" s="1"/>
      <c r="G1" s="1"/>
      <c r="H1" s="1"/>
      <c r="I1" s="1"/>
      <c r="J1" s="1"/>
      <c r="K1" s="1"/>
      <c r="L1" s="1"/>
      <c r="M1" s="1"/>
      <c r="N1" s="1"/>
    </row>
    <row r="2" customFormat="false" ht="15" hidden="false" customHeight="false" outlineLevel="0" collapsed="false">
      <c r="A2" s="2" t="s">
        <v>141</v>
      </c>
      <c r="B2" s="2"/>
      <c r="C2" s="2"/>
      <c r="D2" s="2"/>
      <c r="E2" s="2"/>
      <c r="F2" s="2"/>
      <c r="G2" s="2"/>
      <c r="H2" s="2"/>
      <c r="I2" s="2"/>
      <c r="J2" s="2"/>
      <c r="K2" s="2"/>
      <c r="L2" s="2"/>
      <c r="M2" s="2"/>
      <c r="N2" s="2"/>
    </row>
    <row r="3" customFormat="false" ht="15.75" hidden="false" customHeight="true" outlineLevel="0" collapsed="false">
      <c r="A3" s="17"/>
      <c r="B3" s="14" t="s">
        <v>95</v>
      </c>
      <c r="C3" s="14" t="s">
        <v>96</v>
      </c>
      <c r="D3" s="14" t="s">
        <v>97</v>
      </c>
      <c r="E3" s="14" t="s">
        <v>98</v>
      </c>
      <c r="F3" s="14" t="s">
        <v>99</v>
      </c>
      <c r="G3" s="14" t="s">
        <v>100</v>
      </c>
      <c r="H3" s="14" t="s">
        <v>101</v>
      </c>
      <c r="I3" s="14" t="s">
        <v>102</v>
      </c>
      <c r="J3" s="14" t="s">
        <v>103</v>
      </c>
      <c r="K3" s="14" t="s">
        <v>104</v>
      </c>
      <c r="L3" s="14" t="s">
        <v>105</v>
      </c>
      <c r="M3" s="14" t="s">
        <v>106</v>
      </c>
      <c r="N3" s="14" t="s">
        <v>142</v>
      </c>
    </row>
    <row r="5" customFormat="false" ht="18" hidden="false" customHeight="true" outlineLevel="0" collapsed="false">
      <c r="A5" s="18" t="s">
        <v>143</v>
      </c>
      <c r="B5" s="18"/>
      <c r="C5" s="18"/>
      <c r="D5" s="18"/>
      <c r="E5" s="18"/>
      <c r="F5" s="18"/>
      <c r="G5" s="18"/>
      <c r="H5" s="18"/>
      <c r="I5" s="18"/>
      <c r="J5" s="18"/>
      <c r="K5" s="18"/>
      <c r="L5" s="18"/>
      <c r="M5" s="18"/>
      <c r="N5" s="18"/>
    </row>
    <row r="6" customFormat="false" ht="15" hidden="false" customHeight="false" outlineLevel="0" collapsed="false">
      <c r="A6" s="7" t="s">
        <v>144</v>
      </c>
      <c r="B6" s="28" t="n">
        <f aca="false">'Revenue Model'!B10</f>
        <v>180000</v>
      </c>
      <c r="C6" s="28" t="n">
        <f aca="false">'Revenue Model'!C10</f>
        <v>367200</v>
      </c>
      <c r="D6" s="28" t="n">
        <f aca="false">'Revenue Model'!D10</f>
        <v>562464</v>
      </c>
      <c r="E6" s="28" t="n">
        <f aca="false">'Revenue Model'!E10</f>
        <v>766713.6</v>
      </c>
      <c r="F6" s="28" t="n">
        <f aca="false">'Revenue Model'!F10</f>
        <v>980933.0688</v>
      </c>
      <c r="G6" s="28" t="n">
        <f aca="false">'Revenue Model'!G10</f>
        <v>1206174.799872</v>
      </c>
      <c r="H6" s="28" t="n">
        <f aca="false">'Revenue Model'!H10</f>
        <v>1443565.18600704</v>
      </c>
      <c r="I6" s="28" t="n">
        <f aca="false">'Revenue Model'!I10</f>
        <v>1694310.94694707</v>
      </c>
      <c r="J6" s="28" t="n">
        <f aca="false">'Revenue Model'!J10</f>
        <v>1959705.94691993</v>
      </c>
      <c r="K6" s="28" t="n">
        <f aca="false">'Revenue Model'!K10</f>
        <v>2241138.54192193</v>
      </c>
      <c r="L6" s="28" t="n">
        <f aca="false">'Revenue Model'!L10</f>
        <v>2540099.49975415</v>
      </c>
      <c r="M6" s="28" t="n">
        <f aca="false">'Revenue Model'!M10</f>
        <v>2858190.53923382</v>
      </c>
      <c r="N6" s="15" t="n">
        <f aca="false">SUM(B6:M6)</f>
        <v>16800496.1294559</v>
      </c>
    </row>
    <row r="7" customFormat="false" ht="15" hidden="false" customHeight="false" outlineLevel="0" collapsed="false">
      <c r="A7" s="7" t="s">
        <v>145</v>
      </c>
      <c r="B7" s="28" t="n">
        <f aca="false">'Revenue Model'!B15</f>
        <v>675000</v>
      </c>
      <c r="C7" s="28" t="n">
        <f aca="false">'Revenue Model'!C15</f>
        <v>1118250</v>
      </c>
      <c r="D7" s="28" t="n">
        <f aca="false">'Revenue Model'!D15</f>
        <v>1557067.5</v>
      </c>
      <c r="E7" s="28" t="n">
        <f aca="false">'Revenue Model'!E15</f>
        <v>1991496.825</v>
      </c>
      <c r="F7" s="28" t="n">
        <f aca="false">'Revenue Model'!F15</f>
        <v>2421581.85675</v>
      </c>
      <c r="G7" s="28" t="n">
        <f aca="false">'Revenue Model'!G15</f>
        <v>2847366.0381825</v>
      </c>
      <c r="H7" s="28" t="n">
        <f aca="false">'Revenue Model'!H15</f>
        <v>3268892.37780067</v>
      </c>
      <c r="I7" s="28" t="n">
        <f aca="false">'Revenue Model'!I15</f>
        <v>3686203.45402267</v>
      </c>
      <c r="J7" s="28" t="n">
        <f aca="false">'Revenue Model'!J15</f>
        <v>4099341.41948244</v>
      </c>
      <c r="K7" s="28" t="n">
        <f aca="false">'Revenue Model'!K15</f>
        <v>4508348.00528762</v>
      </c>
      <c r="L7" s="28" t="n">
        <f aca="false">'Revenue Model'!L15</f>
        <v>4913264.52523474</v>
      </c>
      <c r="M7" s="28" t="n">
        <f aca="false">'Revenue Model'!M15</f>
        <v>5314131.87998239</v>
      </c>
      <c r="N7" s="15" t="n">
        <f aca="false">SUM(B7:M7)</f>
        <v>36400943.881743</v>
      </c>
    </row>
    <row r="8" customFormat="false" ht="15" hidden="false" customHeight="false" outlineLevel="0" collapsed="false">
      <c r="A8" s="7" t="s">
        <v>146</v>
      </c>
      <c r="B8" s="28" t="n">
        <f aca="false">'Revenue Model'!B19</f>
        <v>750000</v>
      </c>
      <c r="C8" s="28" t="n">
        <f aca="false">'Revenue Model'!C19</f>
        <v>787500</v>
      </c>
      <c r="D8" s="28" t="n">
        <f aca="false">'Revenue Model'!D19</f>
        <v>826875</v>
      </c>
      <c r="E8" s="28" t="n">
        <f aca="false">'Revenue Model'!E19</f>
        <v>868218.75</v>
      </c>
      <c r="F8" s="28" t="n">
        <f aca="false">'Revenue Model'!F19</f>
        <v>911629.6875</v>
      </c>
      <c r="G8" s="28" t="n">
        <f aca="false">'Revenue Model'!G19</f>
        <v>957211.171875</v>
      </c>
      <c r="H8" s="28" t="n">
        <f aca="false">'Revenue Model'!H19</f>
        <v>1005071.73046875</v>
      </c>
      <c r="I8" s="28" t="n">
        <f aca="false">'Revenue Model'!I19</f>
        <v>1055325.31699219</v>
      </c>
      <c r="J8" s="28" t="n">
        <f aca="false">'Revenue Model'!J19</f>
        <v>1108091.5828418</v>
      </c>
      <c r="K8" s="28" t="n">
        <f aca="false">'Revenue Model'!K19</f>
        <v>1163496.16198389</v>
      </c>
      <c r="L8" s="28" t="n">
        <f aca="false">'Revenue Model'!L19</f>
        <v>1221670.97008308</v>
      </c>
      <c r="M8" s="28" t="n">
        <f aca="false">'Revenue Model'!M19</f>
        <v>1282754.51858724</v>
      </c>
      <c r="N8" s="15" t="n">
        <f aca="false">SUM(B8:M8)</f>
        <v>11937844.8903319</v>
      </c>
    </row>
    <row r="9" customFormat="false" ht="15" hidden="false" customHeight="false" outlineLevel="0" collapsed="false">
      <c r="A9" s="7" t="s">
        <v>147</v>
      </c>
      <c r="B9" s="28" t="n">
        <f aca="false">'Revenue Model'!B22</f>
        <v>0</v>
      </c>
      <c r="C9" s="28" t="n">
        <f aca="false">'Revenue Model'!C22</f>
        <v>0</v>
      </c>
      <c r="D9" s="28" t="n">
        <f aca="false">'Revenue Model'!D22</f>
        <v>22500000</v>
      </c>
      <c r="E9" s="28" t="n">
        <f aca="false">'Revenue Model'!E22</f>
        <v>0</v>
      </c>
      <c r="F9" s="28" t="n">
        <f aca="false">'Revenue Model'!F22</f>
        <v>0</v>
      </c>
      <c r="G9" s="28" t="n">
        <f aca="false">'Revenue Model'!G22</f>
        <v>22500000</v>
      </c>
      <c r="H9" s="28" t="n">
        <f aca="false">'Revenue Model'!H22</f>
        <v>0</v>
      </c>
      <c r="I9" s="28" t="n">
        <f aca="false">'Revenue Model'!I22</f>
        <v>0</v>
      </c>
      <c r="J9" s="28" t="n">
        <f aca="false">'Revenue Model'!J22</f>
        <v>22500000</v>
      </c>
      <c r="K9" s="28" t="n">
        <f aca="false">'Revenue Model'!K22</f>
        <v>0</v>
      </c>
      <c r="L9" s="28" t="n">
        <f aca="false">'Revenue Model'!L22</f>
        <v>0</v>
      </c>
      <c r="M9" s="28" t="n">
        <f aca="false">'Revenue Model'!M22</f>
        <v>22500000</v>
      </c>
      <c r="N9" s="15" t="n">
        <f aca="false">SUM(B9:M9)</f>
        <v>90000000</v>
      </c>
    </row>
    <row r="10" customFormat="false" ht="15" hidden="false" customHeight="false" outlineLevel="0" collapsed="false">
      <c r="A10" s="9" t="s">
        <v>148</v>
      </c>
      <c r="B10" s="27" t="n">
        <f aca="false">SUM(B6:B9)</f>
        <v>1605000</v>
      </c>
      <c r="C10" s="27" t="n">
        <f aca="false">SUM(C6:C9)</f>
        <v>2272950</v>
      </c>
      <c r="D10" s="27" t="n">
        <f aca="false">SUM(D6:D9)</f>
        <v>25446406.5</v>
      </c>
      <c r="E10" s="27" t="n">
        <f aca="false">SUM(E6:E9)</f>
        <v>3626429.175</v>
      </c>
      <c r="F10" s="27" t="n">
        <f aca="false">SUM(F6:F9)</f>
        <v>4314144.61305</v>
      </c>
      <c r="G10" s="27" t="n">
        <f aca="false">SUM(G6:G9)</f>
        <v>27510752.0099295</v>
      </c>
      <c r="H10" s="27" t="n">
        <f aca="false">SUM(H6:H9)</f>
        <v>5717529.29427647</v>
      </c>
      <c r="I10" s="27" t="n">
        <f aca="false">SUM(I6:I9)</f>
        <v>6435839.71796193</v>
      </c>
      <c r="J10" s="27" t="n">
        <f aca="false">SUM(J6:J9)</f>
        <v>29667138.9492442</v>
      </c>
      <c r="K10" s="27" t="n">
        <f aca="false">SUM(K6:K9)</f>
        <v>7912982.70919344</v>
      </c>
      <c r="L10" s="27" t="n">
        <f aca="false">SUM(L6:L9)</f>
        <v>8675034.99507198</v>
      </c>
      <c r="M10" s="27" t="n">
        <f aca="false">SUM(M6:M9)</f>
        <v>31955076.9378034</v>
      </c>
      <c r="N10" s="27" t="n">
        <f aca="false">SUM(B10:M10)</f>
        <v>155139284.901531</v>
      </c>
    </row>
    <row r="12" customFormat="false" ht="18" hidden="false" customHeight="true" outlineLevel="0" collapsed="false">
      <c r="A12" s="18" t="s">
        <v>79</v>
      </c>
      <c r="B12" s="18"/>
      <c r="C12" s="18"/>
      <c r="D12" s="18"/>
      <c r="E12" s="18"/>
      <c r="F12" s="18"/>
      <c r="G12" s="18"/>
      <c r="H12" s="18"/>
      <c r="I12" s="18"/>
      <c r="J12" s="18"/>
      <c r="K12" s="18"/>
      <c r="L12" s="18"/>
      <c r="M12" s="18"/>
      <c r="N12" s="18"/>
    </row>
    <row r="13" customFormat="false" ht="15" hidden="false" customHeight="false" outlineLevel="0" collapsed="false">
      <c r="A13" s="7" t="s">
        <v>149</v>
      </c>
      <c r="B13" s="28" t="n">
        <f aca="false">OpEx!B5</f>
        <v>18000000</v>
      </c>
      <c r="C13" s="28" t="n">
        <f aca="false">OpEx!C5</f>
        <v>18000000</v>
      </c>
      <c r="D13" s="28" t="n">
        <f aca="false">OpEx!D5</f>
        <v>18000000</v>
      </c>
      <c r="E13" s="28" t="n">
        <f aca="false">OpEx!E5</f>
        <v>18540000</v>
      </c>
      <c r="F13" s="28" t="n">
        <f aca="false">OpEx!F5</f>
        <v>18540000</v>
      </c>
      <c r="G13" s="28" t="n">
        <f aca="false">OpEx!G5</f>
        <v>18540000</v>
      </c>
      <c r="H13" s="28" t="n">
        <f aca="false">OpEx!H5</f>
        <v>19096200</v>
      </c>
      <c r="I13" s="28" t="n">
        <f aca="false">OpEx!I5</f>
        <v>19096200</v>
      </c>
      <c r="J13" s="28" t="n">
        <f aca="false">OpEx!J5</f>
        <v>19096200</v>
      </c>
      <c r="K13" s="28" t="n">
        <f aca="false">OpEx!K5</f>
        <v>19669086</v>
      </c>
      <c r="L13" s="28" t="n">
        <f aca="false">OpEx!L5</f>
        <v>19669086</v>
      </c>
      <c r="M13" s="28" t="n">
        <f aca="false">OpEx!M5</f>
        <v>19669086</v>
      </c>
      <c r="N13" s="15" t="n">
        <f aca="false">SUM(B13:M13)</f>
        <v>225915858</v>
      </c>
    </row>
    <row r="14" customFormat="false" ht="15" hidden="false" customHeight="false" outlineLevel="0" collapsed="false">
      <c r="A14" s="7" t="s">
        <v>150</v>
      </c>
      <c r="B14" s="28" t="n">
        <f aca="false">OpEx!B6</f>
        <v>2310000</v>
      </c>
      <c r="C14" s="28" t="n">
        <f aca="false">OpEx!C6</f>
        <v>2374800</v>
      </c>
      <c r="D14" s="28" t="n">
        <f aca="false">OpEx!D6</f>
        <v>2444784</v>
      </c>
      <c r="E14" s="28" t="n">
        <f aca="false">OpEx!E6</f>
        <v>2520366.72</v>
      </c>
      <c r="F14" s="28" t="n">
        <f aca="false">OpEx!F6</f>
        <v>2601996.0576</v>
      </c>
      <c r="G14" s="28" t="n">
        <f aca="false">OpEx!G6</f>
        <v>2690155.742208</v>
      </c>
      <c r="H14" s="28" t="n">
        <f aca="false">OpEx!H6</f>
        <v>2785368.20158464</v>
      </c>
      <c r="I14" s="28" t="n">
        <f aca="false">OpEx!I6</f>
        <v>2888197.65771141</v>
      </c>
      <c r="J14" s="28" t="n">
        <f aca="false">OpEx!J6</f>
        <v>2999253.47032832</v>
      </c>
      <c r="K14" s="28" t="n">
        <f aca="false">OpEx!K6</f>
        <v>3119193.74795459</v>
      </c>
      <c r="L14" s="28" t="n">
        <f aca="false">OpEx!L6</f>
        <v>3248729.24779096</v>
      </c>
      <c r="M14" s="28" t="n">
        <f aca="false">OpEx!M6</f>
        <v>3388627.58761423</v>
      </c>
      <c r="N14" s="15" t="n">
        <f aca="false">SUM(B14:M14)</f>
        <v>33371472.4327922</v>
      </c>
    </row>
    <row r="15" customFormat="false" ht="15" hidden="false" customHeight="false" outlineLevel="0" collapsed="false">
      <c r="A15" s="7" t="s">
        <v>151</v>
      </c>
      <c r="B15" s="28" t="n">
        <f aca="false">OpEx!B7</f>
        <v>1628400</v>
      </c>
      <c r="C15" s="28" t="n">
        <f aca="false">OpEx!C7</f>
        <v>1681836</v>
      </c>
      <c r="D15" s="28" t="n">
        <f aca="false">OpEx!D7</f>
        <v>3535712.52</v>
      </c>
      <c r="E15" s="28" t="n">
        <f aca="false">OpEx!E7</f>
        <v>1790114.334</v>
      </c>
      <c r="F15" s="28" t="n">
        <f aca="false">OpEx!F7</f>
        <v>1845131.569044</v>
      </c>
      <c r="G15" s="28" t="n">
        <f aca="false">OpEx!G7</f>
        <v>3700860.16079436</v>
      </c>
      <c r="H15" s="28" t="n">
        <f aca="false">OpEx!H7</f>
        <v>1957402.34354212</v>
      </c>
      <c r="I15" s="28" t="n">
        <f aca="false">OpEx!I7</f>
        <v>2014867.17743695</v>
      </c>
      <c r="J15" s="28" t="n">
        <f aca="false">OpEx!J7</f>
        <v>3873371.11593953</v>
      </c>
      <c r="K15" s="28" t="n">
        <f aca="false">OpEx!K7</f>
        <v>2133038.61673547</v>
      </c>
      <c r="L15" s="28" t="n">
        <f aca="false">OpEx!L7</f>
        <v>2194002.79960576</v>
      </c>
      <c r="M15" s="28" t="n">
        <f aca="false">OpEx!M7</f>
        <v>4056406.15502428</v>
      </c>
      <c r="N15" s="15" t="n">
        <f aca="false">SUM(B15:M15)</f>
        <v>30411142.7921225</v>
      </c>
    </row>
    <row r="16" customFormat="false" ht="15" hidden="false" customHeight="false" outlineLevel="0" collapsed="false">
      <c r="A16" s="7" t="s">
        <v>152</v>
      </c>
      <c r="B16" s="28" t="n">
        <f aca="false">OpEx!B8</f>
        <v>1200000</v>
      </c>
      <c r="C16" s="28" t="n">
        <f aca="false">OpEx!C8</f>
        <v>1200000</v>
      </c>
      <c r="D16" s="28" t="n">
        <f aca="false">OpEx!D8</f>
        <v>1200000</v>
      </c>
      <c r="E16" s="28" t="n">
        <f aca="false">OpEx!E8</f>
        <v>1200000</v>
      </c>
      <c r="F16" s="28" t="n">
        <f aca="false">OpEx!F8</f>
        <v>1200000</v>
      </c>
      <c r="G16" s="28" t="n">
        <f aca="false">OpEx!G8</f>
        <v>1200000</v>
      </c>
      <c r="H16" s="28" t="n">
        <f aca="false">OpEx!H8</f>
        <v>1200000</v>
      </c>
      <c r="I16" s="28" t="n">
        <f aca="false">OpEx!I8</f>
        <v>1200000</v>
      </c>
      <c r="J16" s="28" t="n">
        <f aca="false">OpEx!J8</f>
        <v>1200000</v>
      </c>
      <c r="K16" s="28" t="n">
        <f aca="false">OpEx!K8</f>
        <v>1200000</v>
      </c>
      <c r="L16" s="28" t="n">
        <f aca="false">OpEx!L8</f>
        <v>1200000</v>
      </c>
      <c r="M16" s="28" t="n">
        <f aca="false">OpEx!M8</f>
        <v>1200000</v>
      </c>
      <c r="N16" s="15" t="n">
        <f aca="false">SUM(B16:M16)</f>
        <v>14400000</v>
      </c>
    </row>
    <row r="17" customFormat="false" ht="15" hidden="false" customHeight="false" outlineLevel="0" collapsed="false">
      <c r="A17" s="7" t="s">
        <v>153</v>
      </c>
      <c r="B17" s="28" t="n">
        <f aca="false">OpEx!B10</f>
        <v>1156920</v>
      </c>
      <c r="C17" s="28" t="n">
        <f aca="false">OpEx!C10</f>
        <v>1162831.8</v>
      </c>
      <c r="D17" s="28" t="n">
        <f aca="false">OpEx!D10</f>
        <v>1259024.826</v>
      </c>
      <c r="E17" s="28" t="n">
        <f aca="false">OpEx!E10</f>
        <v>1202524.0527</v>
      </c>
      <c r="F17" s="28" t="n">
        <f aca="false">OpEx!F10</f>
        <v>1209356.3813322</v>
      </c>
      <c r="G17" s="28" t="n">
        <f aca="false">OpEx!G10</f>
        <v>1306550.79515012</v>
      </c>
      <c r="H17" s="28" t="n">
        <f aca="false">OpEx!H10</f>
        <v>1251948.52725634</v>
      </c>
      <c r="I17" s="28" t="n">
        <f aca="false">OpEx!I10</f>
        <v>1259963.24175742</v>
      </c>
      <c r="J17" s="28" t="n">
        <f aca="false">OpEx!J10</f>
        <v>1358441.22931339</v>
      </c>
      <c r="K17" s="28" t="n">
        <f aca="false">OpEx!K10</f>
        <v>1306065.9182345</v>
      </c>
      <c r="L17" s="28" t="n">
        <f aca="false">OpEx!L10</f>
        <v>1315590.90236984</v>
      </c>
      <c r="M17" s="28" t="n">
        <f aca="false">OpEx!M10</f>
        <v>1415705.98713193</v>
      </c>
      <c r="N17" s="15" t="n">
        <f aca="false">SUM(B17:M17)</f>
        <v>15204923.6612457</v>
      </c>
    </row>
    <row r="18" customFormat="false" ht="15" hidden="false" customHeight="false" outlineLevel="0" collapsed="false">
      <c r="A18" s="9" t="s">
        <v>154</v>
      </c>
      <c r="B18" s="27" t="n">
        <f aca="false">SUM(B13:B17)</f>
        <v>24295320</v>
      </c>
      <c r="C18" s="27" t="n">
        <f aca="false">SUM(C13:C17)</f>
        <v>24419467.8</v>
      </c>
      <c r="D18" s="27" t="n">
        <f aca="false">SUM(D13:D17)</f>
        <v>26439521.346</v>
      </c>
      <c r="E18" s="27" t="n">
        <f aca="false">SUM(E13:E17)</f>
        <v>25253005.1067</v>
      </c>
      <c r="F18" s="27" t="n">
        <f aca="false">SUM(F13:F17)</f>
        <v>25396484.0079762</v>
      </c>
      <c r="G18" s="27" t="n">
        <f aca="false">SUM(G13:G17)</f>
        <v>27437566.6981525</v>
      </c>
      <c r="H18" s="27" t="n">
        <f aca="false">SUM(H13:H17)</f>
        <v>26290919.0723831</v>
      </c>
      <c r="I18" s="27" t="n">
        <f aca="false">SUM(I13:I17)</f>
        <v>26459228.0769058</v>
      </c>
      <c r="J18" s="27" t="n">
        <f aca="false">SUM(J13:J17)</f>
        <v>28527265.8155813</v>
      </c>
      <c r="K18" s="27" t="n">
        <f aca="false">SUM(K13:K17)</f>
        <v>27427384.2829246</v>
      </c>
      <c r="L18" s="27" t="n">
        <f aca="false">SUM(L13:L17)</f>
        <v>27627408.9497666</v>
      </c>
      <c r="M18" s="27" t="n">
        <f aca="false">SUM(M13:M17)</f>
        <v>29729825.7297704</v>
      </c>
      <c r="N18" s="27" t="n">
        <f aca="false">SUM(B18:M18)</f>
        <v>319303396.88616</v>
      </c>
    </row>
    <row r="20" customFormat="false" ht="15" hidden="false" customHeight="false" outlineLevel="0" collapsed="false">
      <c r="A20" s="9" t="s">
        <v>155</v>
      </c>
      <c r="B20" s="27" t="n">
        <f aca="false">B10-B18</f>
        <v>-22690320</v>
      </c>
      <c r="C20" s="27" t="n">
        <f aca="false">C10-C18</f>
        <v>-22146517.8</v>
      </c>
      <c r="D20" s="27" t="n">
        <f aca="false">D10-D18</f>
        <v>-993114.846000001</v>
      </c>
      <c r="E20" s="27" t="n">
        <f aca="false">E10-E18</f>
        <v>-21626575.9317</v>
      </c>
      <c r="F20" s="27" t="n">
        <f aca="false">F10-F18</f>
        <v>-21082339.3949262</v>
      </c>
      <c r="G20" s="27" t="n">
        <f aca="false">G10-G18</f>
        <v>73185.3117770255</v>
      </c>
      <c r="H20" s="27" t="n">
        <f aca="false">H10-H18</f>
        <v>-20573389.7781066</v>
      </c>
      <c r="I20" s="27" t="n">
        <f aca="false">I10-I18</f>
        <v>-20023388.3589439</v>
      </c>
      <c r="J20" s="27" t="n">
        <f aca="false">J10-J18</f>
        <v>1139873.13366292</v>
      </c>
      <c r="K20" s="27" t="n">
        <f aca="false">K10-K18</f>
        <v>-19514401.5737311</v>
      </c>
      <c r="L20" s="27" t="n">
        <f aca="false">L10-L18</f>
        <v>-18952373.9546946</v>
      </c>
      <c r="M20" s="27" t="n">
        <f aca="false">M10-M18</f>
        <v>2225251.20803301</v>
      </c>
      <c r="N20" s="27" t="n">
        <f aca="false">SUM(B20:M20)</f>
        <v>-164164111.984629</v>
      </c>
    </row>
    <row r="21" customFormat="false" ht="15" hidden="false" customHeight="false" outlineLevel="0" collapsed="false">
      <c r="A21" s="7" t="s">
        <v>156</v>
      </c>
      <c r="B21" s="32" t="n">
        <f aca="false">IFERROR(B20/B10,0)</f>
        <v>-14.1372710280374</v>
      </c>
      <c r="C21" s="32" t="n">
        <f aca="false">IFERROR(C20/C10,0)</f>
        <v>-9.74351296772916</v>
      </c>
      <c r="D21" s="32" t="n">
        <f aca="false">IFERROR(D20/D10,0)</f>
        <v>-0.0390277049924515</v>
      </c>
      <c r="E21" s="32" t="n">
        <f aca="false">IFERROR(E20/E10,0)</f>
        <v>-5.96360080069674</v>
      </c>
      <c r="F21" s="32" t="n">
        <f aca="false">IFERROR(F20/F10,0)</f>
        <v>-4.88679478456831</v>
      </c>
      <c r="G21" s="32" t="n">
        <f aca="false">IFERROR(G20/G10,0)</f>
        <v>0.00266024395663959</v>
      </c>
      <c r="H21" s="32" t="n">
        <f aca="false">IFERROR(H20/H10,0)</f>
        <v>-3.59830072033066</v>
      </c>
      <c r="I21" s="32" t="n">
        <f aca="false">IFERROR(I20/I10,0)</f>
        <v>-3.11123167083545</v>
      </c>
      <c r="J21" s="32" t="n">
        <f aca="false">IFERROR(J20/J10,0)</f>
        <v>0.0384220782331947</v>
      </c>
      <c r="K21" s="32" t="n">
        <f aca="false">IFERROR(K20/K10,0)</f>
        <v>-2.46612463225264</v>
      </c>
      <c r="L21" s="32" t="n">
        <f aca="false">IFERROR(L20/L10,0)</f>
        <v>-2.18470288194351</v>
      </c>
      <c r="M21" s="32" t="n">
        <f aca="false">IFERROR(M20/M10,0)</f>
        <v>0.0696368596565792</v>
      </c>
      <c r="N21" s="32" t="n">
        <f aca="false">IFERROR(N20/N10,0)</f>
        <v>-1.05817241641166</v>
      </c>
    </row>
  </sheetData>
  <mergeCells count="4">
    <mergeCell ref="A1:N1"/>
    <mergeCell ref="A2:N2"/>
    <mergeCell ref="A5:N5"/>
    <mergeCell ref="A12:N12"/>
  </mergeCells>
  <printOptions headings="false" gridLines="false" gridLinesSet="true" horizontalCentered="false" verticalCentered="false"/>
  <pageMargins left="0.3" right="0.3" top="0.4" bottom="0.4"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N6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13" min="2" style="0" width="13"/>
  </cols>
  <sheetData>
    <row r="1" customFormat="false" ht="25.5" hidden="false" customHeight="true" outlineLevel="0" collapsed="false">
      <c r="A1" s="1" t="s">
        <v>157</v>
      </c>
      <c r="B1" s="1"/>
      <c r="C1" s="1"/>
      <c r="D1" s="1"/>
      <c r="E1" s="1"/>
      <c r="F1" s="1"/>
      <c r="G1" s="1"/>
      <c r="H1" s="1"/>
      <c r="I1" s="1"/>
      <c r="J1" s="1"/>
      <c r="K1" s="1"/>
      <c r="L1" s="1"/>
      <c r="M1" s="1"/>
      <c r="N1" s="1"/>
    </row>
    <row r="2" customFormat="false" ht="15" hidden="false" customHeight="false" outlineLevel="0" collapsed="false">
      <c r="A2" s="2" t="s">
        <v>158</v>
      </c>
      <c r="B2" s="2"/>
      <c r="C2" s="2"/>
      <c r="D2" s="2"/>
      <c r="E2" s="2"/>
      <c r="F2" s="2"/>
      <c r="G2" s="2"/>
      <c r="H2" s="2"/>
      <c r="I2" s="2"/>
      <c r="J2" s="2"/>
      <c r="K2" s="2"/>
      <c r="L2" s="2"/>
      <c r="M2" s="2"/>
      <c r="N2" s="2"/>
    </row>
    <row r="4" customFormat="false" ht="18" hidden="false" customHeight="true" outlineLevel="0" collapsed="false">
      <c r="A4" s="18" t="s">
        <v>159</v>
      </c>
      <c r="B4" s="18"/>
      <c r="C4" s="18"/>
      <c r="D4" s="18"/>
      <c r="E4" s="18"/>
      <c r="F4" s="18"/>
      <c r="G4" s="18"/>
      <c r="H4" s="18"/>
      <c r="I4" s="18"/>
      <c r="J4" s="18"/>
      <c r="K4" s="18"/>
      <c r="L4" s="18"/>
      <c r="M4" s="18"/>
      <c r="N4" s="18"/>
    </row>
    <row r="5" customFormat="false" ht="15.75" hidden="false" customHeight="true" outlineLevel="0" collapsed="false">
      <c r="A5" s="17"/>
      <c r="B5" s="14" t="s">
        <v>95</v>
      </c>
      <c r="C5" s="14" t="s">
        <v>96</v>
      </c>
      <c r="D5" s="14" t="s">
        <v>97</v>
      </c>
      <c r="E5" s="14" t="s">
        <v>98</v>
      </c>
      <c r="F5" s="14" t="s">
        <v>99</v>
      </c>
      <c r="G5" s="14" t="s">
        <v>100</v>
      </c>
      <c r="H5" s="14" t="s">
        <v>101</v>
      </c>
      <c r="I5" s="14" t="s">
        <v>102</v>
      </c>
      <c r="J5" s="14" t="s">
        <v>103</v>
      </c>
      <c r="K5" s="14" t="s">
        <v>104</v>
      </c>
      <c r="L5" s="14" t="s">
        <v>105</v>
      </c>
      <c r="M5" s="14" t="s">
        <v>106</v>
      </c>
    </row>
    <row r="6" customFormat="false" ht="15" hidden="false" customHeight="false" outlineLevel="0" collapsed="false">
      <c r="A6" s="7" t="s">
        <v>107</v>
      </c>
      <c r="B6" s="25" t="n">
        <f aca="false">Assumptions!$B$10</f>
        <v>800</v>
      </c>
      <c r="C6" s="25" t="n">
        <f aca="false">B6*(1+Assumptions!$C$11)</f>
        <v>832</v>
      </c>
      <c r="D6" s="25" t="n">
        <f aca="false">C6*(1+Assumptions!$C$11)</f>
        <v>865.28</v>
      </c>
      <c r="E6" s="25" t="n">
        <f aca="false">D6*(1+Assumptions!$C$11)</f>
        <v>899.8912</v>
      </c>
      <c r="F6" s="25" t="n">
        <f aca="false">E6*(1+Assumptions!$C$11)</f>
        <v>935.886848</v>
      </c>
      <c r="G6" s="25" t="n">
        <f aca="false">F6*(1+Assumptions!$C$11)</f>
        <v>973.32232192</v>
      </c>
      <c r="H6" s="25" t="n">
        <f aca="false">G6*(1+Assumptions!$C$11)</f>
        <v>1012.2552147968</v>
      </c>
      <c r="I6" s="25" t="n">
        <f aca="false">H6*(1+Assumptions!$C$11)</f>
        <v>1052.74542338867</v>
      </c>
      <c r="J6" s="25" t="n">
        <f aca="false">I6*(1+Assumptions!$C$11)</f>
        <v>1094.85524032422</v>
      </c>
      <c r="K6" s="25" t="n">
        <f aca="false">J6*(1+Assumptions!$C$11)</f>
        <v>1138.64944993719</v>
      </c>
      <c r="L6" s="25" t="n">
        <f aca="false">K6*(1+Assumptions!$C$11)</f>
        <v>1184.19542793468</v>
      </c>
      <c r="M6" s="25" t="n">
        <f aca="false">L6*(1+Assumptions!$C$11)</f>
        <v>1231.56324505206</v>
      </c>
    </row>
    <row r="7" customFormat="false" ht="15" hidden="false" customHeight="false" outlineLevel="0" collapsed="false">
      <c r="A7" s="7" t="s">
        <v>160</v>
      </c>
      <c r="B7" s="25" t="n">
        <f aca="false">B6</f>
        <v>800</v>
      </c>
      <c r="C7" s="25" t="n">
        <f aca="false">B7+C6</f>
        <v>1632</v>
      </c>
      <c r="D7" s="25" t="n">
        <f aca="false">C7+D6</f>
        <v>2497.28</v>
      </c>
      <c r="E7" s="25" t="n">
        <f aca="false">D7+E6</f>
        <v>3397.1712</v>
      </c>
      <c r="F7" s="25" t="n">
        <f aca="false">E7+F6</f>
        <v>4333.058048</v>
      </c>
      <c r="G7" s="25" t="n">
        <f aca="false">F7+G6</f>
        <v>5306.38036992</v>
      </c>
      <c r="H7" s="25" t="n">
        <f aca="false">G7+H6</f>
        <v>6318.6355847168</v>
      </c>
      <c r="I7" s="25" t="n">
        <f aca="false">H7+I6</f>
        <v>7371.38100810547</v>
      </c>
      <c r="J7" s="25" t="n">
        <f aca="false">I7+J6</f>
        <v>8466.23624842969</v>
      </c>
      <c r="K7" s="25" t="n">
        <f aca="false">J7+K6</f>
        <v>9604.88569836688</v>
      </c>
      <c r="L7" s="25" t="n">
        <f aca="false">K7+L6</f>
        <v>10789.0811263016</v>
      </c>
      <c r="M7" s="25" t="n">
        <f aca="false">L7+M6</f>
        <v>12020.6443713536</v>
      </c>
    </row>
    <row r="8" customFormat="false" ht="15" hidden="false" customHeight="false" outlineLevel="0" collapsed="false">
      <c r="A8" s="7" t="s">
        <v>110</v>
      </c>
      <c r="B8" s="25" t="n">
        <f aca="false">B6*Assumptions!$C$12</f>
        <v>24</v>
      </c>
      <c r="C8" s="25" t="n">
        <f aca="false">B8*(1-Assumptions!$C$14)+C6*Assumptions!$C$12</f>
        <v>47.52</v>
      </c>
      <c r="D8" s="25" t="n">
        <f aca="false">C8*(1-Assumptions!$C$14)+D6*Assumptions!$C$12</f>
        <v>70.6272</v>
      </c>
      <c r="E8" s="25" t="n">
        <f aca="false">D8*(1-Assumptions!$C$14)+E6*Assumptions!$C$12</f>
        <v>93.386304</v>
      </c>
      <c r="F8" s="25" t="n">
        <f aca="false">E8*(1-Assumptions!$C$14)+F6*Assumptions!$C$12</f>
        <v>115.8597312</v>
      </c>
      <c r="G8" s="25" t="n">
        <f aca="false">F8*(1-Assumptions!$C$14)+G6*Assumptions!$C$12</f>
        <v>138.1078169856</v>
      </c>
      <c r="H8" s="25" t="n">
        <f aca="false">G8*(1-Assumptions!$C$14)+H6*Assumptions!$C$12</f>
        <v>160.189004410368</v>
      </c>
      <c r="I8" s="25" t="n">
        <f aca="false">H8*(1-Assumptions!$C$14)+I6*Assumptions!$C$12</f>
        <v>182.160026847406</v>
      </c>
      <c r="J8" s="25" t="n">
        <f aca="false">I8*(1-Assumptions!$C$14)+J6*Assumptions!$C$12</f>
        <v>204.076082446288</v>
      </c>
      <c r="K8" s="25" t="n">
        <f aca="false">J8*(1-Assumptions!$C$14)+K6*Assumptions!$C$12</f>
        <v>225.991000997627</v>
      </c>
      <c r="L8" s="25" t="n">
        <f aca="false">K8*(1-Assumptions!$C$14)+L6*Assumptions!$C$12</f>
        <v>247.957403775809</v>
      </c>
      <c r="M8" s="25" t="n">
        <f aca="false">L8*(1-Assumptions!$C$14)+M6*Assumptions!$C$12</f>
        <v>270.026856900823</v>
      </c>
    </row>
    <row r="9" customFormat="false" ht="15" hidden="false" customHeight="false" outlineLevel="0" collapsed="false">
      <c r="A9" s="7" t="s">
        <v>161</v>
      </c>
      <c r="B9" s="15" t="n">
        <f aca="false">B8*Assumptions!$B$13</f>
        <v>108000</v>
      </c>
      <c r="C9" s="15" t="n">
        <f aca="false">C8*Assumptions!$B$13</f>
        <v>213840</v>
      </c>
      <c r="D9" s="15" t="n">
        <f aca="false">D8*Assumptions!$B$13</f>
        <v>317822.4</v>
      </c>
      <c r="E9" s="15" t="n">
        <f aca="false">E8*Assumptions!$B$13</f>
        <v>420238.368</v>
      </c>
      <c r="F9" s="15" t="n">
        <f aca="false">F8*Assumptions!$B$13</f>
        <v>521368.7904</v>
      </c>
      <c r="G9" s="15" t="n">
        <f aca="false">G8*Assumptions!$B$13</f>
        <v>621485.1764352</v>
      </c>
      <c r="H9" s="15" t="n">
        <f aca="false">H8*Assumptions!$B$13</f>
        <v>720850.519846656</v>
      </c>
      <c r="I9" s="15" t="n">
        <f aca="false">I8*Assumptions!$B$13</f>
        <v>819720.120813327</v>
      </c>
      <c r="J9" s="15" t="n">
        <f aca="false">J8*Assumptions!$B$13</f>
        <v>918342.371008297</v>
      </c>
      <c r="K9" s="15" t="n">
        <f aca="false">K8*Assumptions!$B$13</f>
        <v>1016959.50448932</v>
      </c>
      <c r="L9" s="15" t="n">
        <f aca="false">L8*Assumptions!$B$13</f>
        <v>1115808.31699114</v>
      </c>
      <c r="M9" s="15" t="n">
        <f aca="false">M8*Assumptions!$B$13</f>
        <v>1215120.8560537</v>
      </c>
    </row>
    <row r="10" customFormat="false" ht="15" hidden="false" customHeight="false" outlineLevel="0" collapsed="false">
      <c r="A10" s="7" t="s">
        <v>113</v>
      </c>
      <c r="B10" s="25" t="n">
        <f aca="false">Assumptions!$B$17</f>
        <v>3</v>
      </c>
      <c r="C10" s="25" t="n">
        <f aca="false">B10*(1-Assumptions!$C$20)+Assumptions!$C$18</f>
        <v>3.94</v>
      </c>
      <c r="D10" s="25" t="n">
        <f aca="false">C10*(1-Assumptions!$C$20)+Assumptions!$C$18</f>
        <v>4.8612</v>
      </c>
      <c r="E10" s="25" t="n">
        <f aca="false">D10*(1-Assumptions!$C$20)+Assumptions!$C$18</f>
        <v>5.763976</v>
      </c>
      <c r="F10" s="25" t="n">
        <f aca="false">E10*(1-Assumptions!$C$20)+Assumptions!$C$18</f>
        <v>6.64869648</v>
      </c>
      <c r="G10" s="25" t="n">
        <f aca="false">F10*(1-Assumptions!$C$20)+Assumptions!$C$18</f>
        <v>7.5157225504</v>
      </c>
      <c r="H10" s="25" t="n">
        <f aca="false">G10*(1-Assumptions!$C$20)+Assumptions!$C$18</f>
        <v>8.365408099392</v>
      </c>
      <c r="I10" s="25" t="n">
        <f aca="false">H10*(1-Assumptions!$C$20)+Assumptions!$C$18</f>
        <v>9.19809993740416</v>
      </c>
      <c r="J10" s="25" t="n">
        <f aca="false">I10*(1-Assumptions!$C$20)+Assumptions!$C$18</f>
        <v>10.0141379386561</v>
      </c>
      <c r="K10" s="25" t="n">
        <f aca="false">J10*(1-Assumptions!$C$20)+Assumptions!$C$18</f>
        <v>10.813855179883</v>
      </c>
      <c r="L10" s="25" t="n">
        <f aca="false">K10*(1-Assumptions!$C$20)+Assumptions!$C$18</f>
        <v>11.5975780762853</v>
      </c>
      <c r="M10" s="25" t="n">
        <f aca="false">L10*(1-Assumptions!$C$20)+Assumptions!$C$18</f>
        <v>12.3656265147596</v>
      </c>
    </row>
    <row r="11" customFormat="false" ht="15" hidden="false" customHeight="false" outlineLevel="0" collapsed="false">
      <c r="A11" s="7" t="s">
        <v>162</v>
      </c>
      <c r="B11" s="15" t="n">
        <f aca="false">B10*Assumptions!$B$19</f>
        <v>675000</v>
      </c>
      <c r="C11" s="15" t="n">
        <f aca="false">C10*Assumptions!$B$19</f>
        <v>886500</v>
      </c>
      <c r="D11" s="15" t="n">
        <f aca="false">D10*Assumptions!$B$19</f>
        <v>1093770</v>
      </c>
      <c r="E11" s="15" t="n">
        <f aca="false">E10*Assumptions!$B$19</f>
        <v>1296894.6</v>
      </c>
      <c r="F11" s="15" t="n">
        <f aca="false">F10*Assumptions!$B$19</f>
        <v>1495956.708</v>
      </c>
      <c r="G11" s="15" t="n">
        <f aca="false">G10*Assumptions!$B$19</f>
        <v>1691037.57384</v>
      </c>
      <c r="H11" s="15" t="n">
        <f aca="false">H10*Assumptions!$B$19</f>
        <v>1882216.8223632</v>
      </c>
      <c r="I11" s="15" t="n">
        <f aca="false">I10*Assumptions!$B$19</f>
        <v>2069572.48591594</v>
      </c>
      <c r="J11" s="15" t="n">
        <f aca="false">J10*Assumptions!$B$19</f>
        <v>2253181.03619762</v>
      </c>
      <c r="K11" s="15" t="n">
        <f aca="false">K10*Assumptions!$B$19</f>
        <v>2433117.41547366</v>
      </c>
      <c r="L11" s="15" t="n">
        <f aca="false">L10*Assumptions!$B$19</f>
        <v>2609455.06716419</v>
      </c>
      <c r="M11" s="15" t="n">
        <f aca="false">M10*Assumptions!$B$19</f>
        <v>2782265.96582091</v>
      </c>
    </row>
    <row r="12" customFormat="false" ht="15" hidden="false" customHeight="false" outlineLevel="0" collapsed="false">
      <c r="A12" s="7" t="s">
        <v>163</v>
      </c>
      <c r="B12" s="15" t="n">
        <f aca="false">Assumptions!$B$23*Assumptions!$B$25</f>
        <v>750000</v>
      </c>
      <c r="C12" s="15" t="n">
        <f aca="false">B12*(1+Assumptions!$C$24)</f>
        <v>765000</v>
      </c>
      <c r="D12" s="15" t="n">
        <f aca="false">C12*(1+Assumptions!$C$24)</f>
        <v>780300</v>
      </c>
      <c r="E12" s="15" t="n">
        <f aca="false">D12*(1+Assumptions!$C$24)</f>
        <v>795906</v>
      </c>
      <c r="F12" s="15" t="n">
        <f aca="false">E12*(1+Assumptions!$C$24)</f>
        <v>811824.12</v>
      </c>
      <c r="G12" s="15" t="n">
        <f aca="false">F12*(1+Assumptions!$C$24)</f>
        <v>828060.6024</v>
      </c>
      <c r="H12" s="15" t="n">
        <f aca="false">G12*(1+Assumptions!$C$24)</f>
        <v>844621.814448</v>
      </c>
      <c r="I12" s="15" t="n">
        <f aca="false">H12*(1+Assumptions!$C$24)</f>
        <v>861514.25073696</v>
      </c>
      <c r="J12" s="15" t="n">
        <f aca="false">I12*(1+Assumptions!$C$24)</f>
        <v>878744.535751699</v>
      </c>
      <c r="K12" s="15" t="n">
        <f aca="false">J12*(1+Assumptions!$C$24)</f>
        <v>896319.426466733</v>
      </c>
      <c r="L12" s="15" t="n">
        <f aca="false">K12*(1+Assumptions!$C$24)</f>
        <v>914245.814996068</v>
      </c>
      <c r="M12" s="15" t="n">
        <f aca="false">L12*(1+Assumptions!$C$24)</f>
        <v>932530.731295989</v>
      </c>
    </row>
    <row r="13" customFormat="false" ht="15" hidden="false" customHeight="false" outlineLevel="0" collapsed="false">
      <c r="A13" s="7" t="s">
        <v>164</v>
      </c>
      <c r="B13" s="15" t="n">
        <f aca="false">0</f>
        <v>0</v>
      </c>
      <c r="C13" s="15" t="n">
        <f aca="false">0</f>
        <v>0</v>
      </c>
      <c r="D13" s="15" t="n">
        <f aca="false">Assumptions!$C$28</f>
        <v>0</v>
      </c>
      <c r="E13" s="15" t="n">
        <f aca="false">0</f>
        <v>0</v>
      </c>
      <c r="F13" s="15" t="n">
        <f aca="false">0</f>
        <v>0</v>
      </c>
      <c r="G13" s="15" t="n">
        <f aca="false">Assumptions!$C$28</f>
        <v>0</v>
      </c>
      <c r="H13" s="15" t="n">
        <f aca="false">0</f>
        <v>0</v>
      </c>
      <c r="I13" s="15" t="n">
        <f aca="false">0</f>
        <v>0</v>
      </c>
      <c r="J13" s="15" t="n">
        <f aca="false">Assumptions!$C$28</f>
        <v>0</v>
      </c>
      <c r="K13" s="15" t="n">
        <f aca="false">0</f>
        <v>0</v>
      </c>
      <c r="L13" s="15" t="n">
        <f aca="false">0</f>
        <v>0</v>
      </c>
      <c r="M13" s="15" t="n">
        <f aca="false">Assumptions!$C$28</f>
        <v>0</v>
      </c>
    </row>
    <row r="14" customFormat="false" ht="15" hidden="false" customHeight="false" outlineLevel="0" collapsed="false">
      <c r="A14" s="9" t="s">
        <v>165</v>
      </c>
      <c r="B14" s="27" t="n">
        <f aca="false">B9+B11+B12+B13</f>
        <v>1533000</v>
      </c>
      <c r="C14" s="27" t="n">
        <f aca="false">C9+C11+C12+C13</f>
        <v>1865340</v>
      </c>
      <c r="D14" s="27" t="n">
        <f aca="false">D9+D11+D12+D13</f>
        <v>2191892.4</v>
      </c>
      <c r="E14" s="27" t="n">
        <f aca="false">E9+E11+E12+E13</f>
        <v>2513038.968</v>
      </c>
      <c r="F14" s="27" t="n">
        <f aca="false">F9+F11+F12+F13</f>
        <v>2829149.6184</v>
      </c>
      <c r="G14" s="27" t="n">
        <f aca="false">G9+G11+G12+G13</f>
        <v>3140583.3526752</v>
      </c>
      <c r="H14" s="27" t="n">
        <f aca="false">H9+H11+H12+H13</f>
        <v>3447689.15665786</v>
      </c>
      <c r="I14" s="27" t="n">
        <f aca="false">I9+I11+I12+I13</f>
        <v>3750806.85746622</v>
      </c>
      <c r="J14" s="27" t="n">
        <f aca="false">J9+J11+J12+J13</f>
        <v>4050267.94295761</v>
      </c>
      <c r="K14" s="27" t="n">
        <f aca="false">K9+K11+K12+K13</f>
        <v>4346396.34642972</v>
      </c>
      <c r="L14" s="27" t="n">
        <f aca="false">L9+L11+L12+L13</f>
        <v>4639509.1991514</v>
      </c>
      <c r="M14" s="27" t="n">
        <f aca="false">M9+M11+M12+M13</f>
        <v>4929917.5531706</v>
      </c>
    </row>
    <row r="15" customFormat="false" ht="15" hidden="false" customHeight="false" outlineLevel="0" collapsed="false">
      <c r="A15" s="9" t="s">
        <v>166</v>
      </c>
      <c r="B15" s="27" t="n">
        <f aca="false">(B18+(Assumptions!$B$33+Assumptions!$B$34*B7)+(Assumptions!$B$35+Assumptions!$B$36*B14)+Assumptions!$B$37)*(1+Assumptions!$B$38)</f>
        <v>24289272</v>
      </c>
      <c r="C15" s="27" t="n">
        <f aca="false">(C18+(Assumptions!$B$33+Assumptions!$B$34*C7)+(Assumptions!$B$35+Assumptions!$B$36*C14)+Assumptions!$B$37)*(1+Assumptions!$B$38)</f>
        <v>24382708.56</v>
      </c>
      <c r="D15" s="27" t="n">
        <f aca="false">(D18+(Assumptions!$B$33+Assumptions!$B$34*D7)+(Assumptions!$B$35+Assumptions!$B$36*D14)+Assumptions!$B$37)*(1+Assumptions!$B$38)</f>
        <v>24478279.7616</v>
      </c>
      <c r="E15" s="27" t="n">
        <f aca="false">(E18+(Assumptions!$B$33+Assumptions!$B$34*E7)+(Assumptions!$B$35+Assumptions!$B$36*E14)+Assumptions!$B$37)*(1+Assumptions!$B$38)</f>
        <v>25143122.505312</v>
      </c>
      <c r="F15" s="27" t="n">
        <f aca="false">(F18+(Assumptions!$B$33+Assumptions!$B$34*F7)+(Assumptions!$B$35+Assumptions!$B$36*F14)+Assumptions!$B$37)*(1+Assumptions!$B$38)</f>
        <v>25243376.8892256</v>
      </c>
      <c r="G15" s="27" t="n">
        <f aca="false">(G18+(Assumptions!$B$33+Assumptions!$B$34*G7)+(Assumptions!$B$35+Assumptions!$B$36*G14)+Assumptions!$B$37)*(1+Assumptions!$B$38)</f>
        <v>25346186.4557559</v>
      </c>
      <c r="H15" s="27" t="n">
        <f aca="false">(H18+(Assumptions!$B$33+Assumptions!$B$34*H7)+(Assumptions!$B$35+Assumptions!$B$36*H14)+Assumptions!$B$37)*(1+Assumptions!$B$38)</f>
        <v>26035708.4414557</v>
      </c>
      <c r="I15" s="27" t="n">
        <f aca="false">(I18+(Assumptions!$B$33+Assumptions!$B$34*I7)+(Assumptions!$B$35+Assumptions!$B$36*I14)+Assumptions!$B$37)*(1+Assumptions!$B$38)</f>
        <v>26144074.0304155</v>
      </c>
      <c r="J15" s="27" t="n">
        <f aca="false">(J18+(Assumptions!$B$33+Assumptions!$B$34*J7)+(Assumptions!$B$35+Assumptions!$B$36*J14)+Assumptions!$B$37)*(1+Assumptions!$B$38)</f>
        <v>26255448.6117723</v>
      </c>
      <c r="K15" s="27" t="n">
        <f aca="false">(K18+(Assumptions!$B$33+Assumptions!$B$34*K7)+(Assumptions!$B$35+Assumptions!$B$36*K14)+Assumptions!$B$37)*(1+Assumptions!$B$38)</f>
        <v>26971522.3418465</v>
      </c>
      <c r="L15" s="27" t="n">
        <f aca="false">(L18+(Assumptions!$B$33+Assumptions!$B$34*L7)+(Assumptions!$B$35+Assumptions!$B$36*L14)+Assumptions!$B$37)*(1+Assumptions!$B$38)</f>
        <v>27089399.211425</v>
      </c>
      <c r="M15" s="27" t="n">
        <f aca="false">(M18+(Assumptions!$B$33+Assumptions!$B$34*M7)+(Assumptions!$B$35+Assumptions!$B$36*M14)+Assumptions!$B$37)*(1+Assumptions!$B$38)</f>
        <v>27210779.1187104</v>
      </c>
    </row>
    <row r="16" customFormat="false" ht="15" hidden="false" customHeight="false" outlineLevel="0" collapsed="false">
      <c r="A16" s="7" t="s">
        <v>167</v>
      </c>
      <c r="B16" s="15" t="n">
        <f aca="false">B14-B15</f>
        <v>-22756272</v>
      </c>
      <c r="C16" s="15" t="n">
        <f aca="false">C14-C15</f>
        <v>-22517368.56</v>
      </c>
      <c r="D16" s="15" t="n">
        <f aca="false">D14-D15</f>
        <v>-22286387.3616</v>
      </c>
      <c r="E16" s="15" t="n">
        <f aca="false">E14-E15</f>
        <v>-22630083.537312</v>
      </c>
      <c r="F16" s="15" t="n">
        <f aca="false">F14-F15</f>
        <v>-22414227.2708256</v>
      </c>
      <c r="G16" s="15" t="n">
        <f aca="false">G14-G15</f>
        <v>-22205603.1030807</v>
      </c>
      <c r="H16" s="15" t="n">
        <f aca="false">H14-H15</f>
        <v>-22588019.2847979</v>
      </c>
      <c r="I16" s="15" t="n">
        <f aca="false">I14-I15</f>
        <v>-22393267.1729492</v>
      </c>
      <c r="J16" s="15" t="n">
        <f aca="false">J14-J15</f>
        <v>-22205180.6688147</v>
      </c>
      <c r="K16" s="15" t="n">
        <f aca="false">K14-K15</f>
        <v>-22625125.9954168</v>
      </c>
      <c r="L16" s="15" t="n">
        <f aca="false">L14-L15</f>
        <v>-22449890.0122736</v>
      </c>
      <c r="M16" s="15" t="n">
        <f aca="false">M14-M15</f>
        <v>-22280861.5655398</v>
      </c>
    </row>
    <row r="17" customFormat="false" ht="15" hidden="false" customHeight="false" outlineLevel="0" collapsed="false">
      <c r="A17" s="9" t="s">
        <v>168</v>
      </c>
      <c r="B17" s="27" t="n">
        <f aca="false">Assumptions!$B$7+B16</f>
        <v>52243728</v>
      </c>
      <c r="C17" s="27" t="n">
        <f aca="false">B17+C16</f>
        <v>29726359.44</v>
      </c>
      <c r="D17" s="27" t="n">
        <f aca="false">C17+D16</f>
        <v>7439972.0784</v>
      </c>
      <c r="E17" s="27" t="n">
        <f aca="false">D17+E16</f>
        <v>-15190111.458912</v>
      </c>
      <c r="F17" s="27" t="n">
        <f aca="false">E17+F16</f>
        <v>-37604338.7297376</v>
      </c>
      <c r="G17" s="27" t="n">
        <f aca="false">F17+G16</f>
        <v>-59809941.8328183</v>
      </c>
      <c r="H17" s="27" t="n">
        <f aca="false">G17+H16</f>
        <v>-82397961.1176162</v>
      </c>
      <c r="I17" s="27" t="n">
        <f aca="false">H17+I16</f>
        <v>-104791228.290565</v>
      </c>
      <c r="J17" s="27" t="n">
        <f aca="false">I17+J16</f>
        <v>-126996408.95938</v>
      </c>
      <c r="K17" s="27" t="n">
        <f aca="false">J17+K16</f>
        <v>-149621534.954797</v>
      </c>
      <c r="L17" s="27" t="n">
        <f aca="false">K17+L16</f>
        <v>-172071424.96707</v>
      </c>
      <c r="M17" s="27" t="n">
        <f aca="false">L17+M16</f>
        <v>-194352286.53261</v>
      </c>
    </row>
    <row r="18" customFormat="false" ht="15" hidden="false" customHeight="false" outlineLevel="0" collapsed="false">
      <c r="A18" s="7" t="s">
        <v>169</v>
      </c>
      <c r="B18" s="15" t="n">
        <f aca="false">Assumptions!$B$31</f>
        <v>18000000</v>
      </c>
      <c r="C18" s="15" t="n">
        <f aca="false">B18</f>
        <v>18000000</v>
      </c>
      <c r="D18" s="15" t="n">
        <f aca="false">C18</f>
        <v>18000000</v>
      </c>
      <c r="E18" s="15" t="n">
        <f aca="false">D18*(1+Assumptions!$B$32)</f>
        <v>18540000</v>
      </c>
      <c r="F18" s="15" t="n">
        <f aca="false">E18</f>
        <v>18540000</v>
      </c>
      <c r="G18" s="15" t="n">
        <f aca="false">F18</f>
        <v>18540000</v>
      </c>
      <c r="H18" s="15" t="n">
        <f aca="false">G18*(1+Assumptions!$B$32)</f>
        <v>19096200</v>
      </c>
      <c r="I18" s="15" t="n">
        <f aca="false">H18</f>
        <v>19096200</v>
      </c>
      <c r="J18" s="15" t="n">
        <f aca="false">I18</f>
        <v>19096200</v>
      </c>
      <c r="K18" s="15" t="n">
        <f aca="false">J18*(1+Assumptions!$B$32)</f>
        <v>19669086</v>
      </c>
      <c r="L18" s="15" t="n">
        <f aca="false">K18</f>
        <v>19669086</v>
      </c>
      <c r="M18" s="15" t="n">
        <f aca="false">L18</f>
        <v>19669086</v>
      </c>
    </row>
    <row r="21" customFormat="false" ht="18" hidden="false" customHeight="true" outlineLevel="0" collapsed="false">
      <c r="A21" s="33" t="s">
        <v>170</v>
      </c>
      <c r="B21" s="33"/>
      <c r="C21" s="33"/>
      <c r="D21" s="33"/>
      <c r="E21" s="33"/>
      <c r="F21" s="33"/>
      <c r="G21" s="33"/>
      <c r="H21" s="33"/>
      <c r="I21" s="33"/>
      <c r="J21" s="33"/>
      <c r="K21" s="33"/>
      <c r="L21" s="33"/>
      <c r="M21" s="33"/>
      <c r="N21" s="33"/>
    </row>
    <row r="22" customFormat="false" ht="15.75" hidden="false" customHeight="true" outlineLevel="0" collapsed="false">
      <c r="A22" s="17"/>
      <c r="B22" s="14" t="s">
        <v>95</v>
      </c>
      <c r="C22" s="14" t="s">
        <v>96</v>
      </c>
      <c r="D22" s="14" t="s">
        <v>97</v>
      </c>
      <c r="E22" s="14" t="s">
        <v>98</v>
      </c>
      <c r="F22" s="14" t="s">
        <v>99</v>
      </c>
      <c r="G22" s="14" t="s">
        <v>100</v>
      </c>
      <c r="H22" s="14" t="s">
        <v>101</v>
      </c>
      <c r="I22" s="14" t="s">
        <v>102</v>
      </c>
      <c r="J22" s="14" t="s">
        <v>103</v>
      </c>
      <c r="K22" s="14" t="s">
        <v>104</v>
      </c>
      <c r="L22" s="14" t="s">
        <v>105</v>
      </c>
      <c r="M22" s="14" t="s">
        <v>106</v>
      </c>
    </row>
    <row r="23" customFormat="false" ht="15" hidden="false" customHeight="false" outlineLevel="0" collapsed="false">
      <c r="A23" s="7" t="s">
        <v>107</v>
      </c>
      <c r="B23" s="25" t="n">
        <f aca="false">Assumptions!$B$10</f>
        <v>800</v>
      </c>
      <c r="C23" s="25" t="n">
        <f aca="false">B23*(1+Assumptions!$B$11)</f>
        <v>864</v>
      </c>
      <c r="D23" s="25" t="n">
        <f aca="false">C23*(1+Assumptions!$B$11)</f>
        <v>933.12</v>
      </c>
      <c r="E23" s="25" t="n">
        <f aca="false">D23*(1+Assumptions!$B$11)</f>
        <v>1007.7696</v>
      </c>
      <c r="F23" s="25" t="n">
        <f aca="false">E23*(1+Assumptions!$B$11)</f>
        <v>1088.391168</v>
      </c>
      <c r="G23" s="25" t="n">
        <f aca="false">F23*(1+Assumptions!$B$11)</f>
        <v>1175.46246144</v>
      </c>
      <c r="H23" s="25" t="n">
        <f aca="false">G23*(1+Assumptions!$B$11)</f>
        <v>1269.4994583552</v>
      </c>
      <c r="I23" s="25" t="n">
        <f aca="false">H23*(1+Assumptions!$B$11)</f>
        <v>1371.05941502362</v>
      </c>
      <c r="J23" s="25" t="n">
        <f aca="false">I23*(1+Assumptions!$B$11)</f>
        <v>1480.74416822551</v>
      </c>
      <c r="K23" s="25" t="n">
        <f aca="false">J23*(1+Assumptions!$B$11)</f>
        <v>1599.20370168355</v>
      </c>
      <c r="L23" s="25" t="n">
        <f aca="false">K23*(1+Assumptions!$B$11)</f>
        <v>1727.13999781823</v>
      </c>
      <c r="M23" s="25" t="n">
        <f aca="false">L23*(1+Assumptions!$B$11)</f>
        <v>1865.31119764369</v>
      </c>
    </row>
    <row r="24" customFormat="false" ht="15" hidden="false" customHeight="false" outlineLevel="0" collapsed="false">
      <c r="A24" s="7" t="s">
        <v>160</v>
      </c>
      <c r="B24" s="25" t="n">
        <f aca="false">B23</f>
        <v>800</v>
      </c>
      <c r="C24" s="25" t="n">
        <f aca="false">B24+C23</f>
        <v>1664</v>
      </c>
      <c r="D24" s="25" t="n">
        <f aca="false">C24+D23</f>
        <v>2597.12</v>
      </c>
      <c r="E24" s="25" t="n">
        <f aca="false">D24+E23</f>
        <v>3604.8896</v>
      </c>
      <c r="F24" s="25" t="n">
        <f aca="false">E24+F23</f>
        <v>4693.280768</v>
      </c>
      <c r="G24" s="25" t="n">
        <f aca="false">F24+G23</f>
        <v>5868.74322944</v>
      </c>
      <c r="H24" s="25" t="n">
        <f aca="false">G24+H23</f>
        <v>7138.2426877952</v>
      </c>
      <c r="I24" s="25" t="n">
        <f aca="false">H24+I23</f>
        <v>8509.30210281882</v>
      </c>
      <c r="J24" s="25" t="n">
        <f aca="false">I24+J23</f>
        <v>9990.04627104432</v>
      </c>
      <c r="K24" s="25" t="n">
        <f aca="false">J24+K23</f>
        <v>11589.2499727279</v>
      </c>
      <c r="L24" s="25" t="n">
        <f aca="false">K24+L23</f>
        <v>13316.3899705461</v>
      </c>
      <c r="M24" s="25" t="n">
        <f aca="false">L24+M23</f>
        <v>15181.7011681898</v>
      </c>
    </row>
    <row r="25" customFormat="false" ht="15" hidden="false" customHeight="false" outlineLevel="0" collapsed="false">
      <c r="A25" s="7" t="s">
        <v>110</v>
      </c>
      <c r="B25" s="25" t="n">
        <f aca="false">B23*Assumptions!$B$12</f>
        <v>40</v>
      </c>
      <c r="C25" s="25" t="n">
        <f aca="false">B25*(1-Assumptions!$B$14)+C23*Assumptions!$B$12</f>
        <v>81.6</v>
      </c>
      <c r="D25" s="25" t="n">
        <f aca="false">C25*(1-Assumptions!$B$14)+D23*Assumptions!$B$12</f>
        <v>124.992</v>
      </c>
      <c r="E25" s="25" t="n">
        <f aca="false">D25*(1-Assumptions!$B$14)+E23*Assumptions!$B$12</f>
        <v>170.3808</v>
      </c>
      <c r="F25" s="25" t="n">
        <f aca="false">E25*(1-Assumptions!$B$14)+F23*Assumptions!$B$12</f>
        <v>217.9851264</v>
      </c>
      <c r="G25" s="25" t="n">
        <f aca="false">F25*(1-Assumptions!$B$14)+G23*Assumptions!$B$12</f>
        <v>268.038844416</v>
      </c>
      <c r="H25" s="25" t="n">
        <f aca="false">G25*(1-Assumptions!$B$14)+H23*Assumptions!$B$12</f>
        <v>320.79226355712</v>
      </c>
      <c r="I25" s="25" t="n">
        <f aca="false">H25*(1-Assumptions!$B$14)+I23*Assumptions!$B$12</f>
        <v>376.513543766016</v>
      </c>
      <c r="J25" s="25" t="n">
        <f aca="false">I25*(1-Assumptions!$B$14)+J23*Assumptions!$B$12</f>
        <v>435.490210426651</v>
      </c>
      <c r="K25" s="25" t="n">
        <f aca="false">J25*(1-Assumptions!$B$14)+K23*Assumptions!$B$12</f>
        <v>498.030787093762</v>
      </c>
      <c r="L25" s="25" t="n">
        <f aca="false">K25*(1-Assumptions!$B$14)+L23*Assumptions!$B$12</f>
        <v>564.466555500923</v>
      </c>
      <c r="M25" s="25" t="n">
        <f aca="false">L25*(1-Assumptions!$B$14)+M23*Assumptions!$B$12</f>
        <v>635.153453163071</v>
      </c>
    </row>
    <row r="26" customFormat="false" ht="15" hidden="false" customHeight="false" outlineLevel="0" collapsed="false">
      <c r="A26" s="7" t="s">
        <v>161</v>
      </c>
      <c r="B26" s="15" t="n">
        <f aca="false">B25*Assumptions!$B$13</f>
        <v>180000</v>
      </c>
      <c r="C26" s="15" t="n">
        <f aca="false">C25*Assumptions!$B$13</f>
        <v>367200</v>
      </c>
      <c r="D26" s="15" t="n">
        <f aca="false">D25*Assumptions!$B$13</f>
        <v>562464</v>
      </c>
      <c r="E26" s="15" t="n">
        <f aca="false">E25*Assumptions!$B$13</f>
        <v>766713.6</v>
      </c>
      <c r="F26" s="15" t="n">
        <f aca="false">F25*Assumptions!$B$13</f>
        <v>980933.0688</v>
      </c>
      <c r="G26" s="15" t="n">
        <f aca="false">G25*Assumptions!$B$13</f>
        <v>1206174.799872</v>
      </c>
      <c r="H26" s="15" t="n">
        <f aca="false">H25*Assumptions!$B$13</f>
        <v>1443565.18600704</v>
      </c>
      <c r="I26" s="15" t="n">
        <f aca="false">I25*Assumptions!$B$13</f>
        <v>1694310.94694707</v>
      </c>
      <c r="J26" s="15" t="n">
        <f aca="false">J25*Assumptions!$B$13</f>
        <v>1959705.94691993</v>
      </c>
      <c r="K26" s="15" t="n">
        <f aca="false">K25*Assumptions!$B$13</f>
        <v>2241138.54192193</v>
      </c>
      <c r="L26" s="15" t="n">
        <f aca="false">L25*Assumptions!$B$13</f>
        <v>2540099.49975415</v>
      </c>
      <c r="M26" s="15" t="n">
        <f aca="false">M25*Assumptions!$B$13</f>
        <v>2858190.53923382</v>
      </c>
    </row>
    <row r="27" customFormat="false" ht="15" hidden="false" customHeight="false" outlineLevel="0" collapsed="false">
      <c r="A27" s="7" t="s">
        <v>113</v>
      </c>
      <c r="B27" s="25" t="n">
        <f aca="false">Assumptions!$B$17</f>
        <v>3</v>
      </c>
      <c r="C27" s="25" t="n">
        <f aca="false">B27*(1-Assumptions!$B$20)+Assumptions!$B$18</f>
        <v>4.97</v>
      </c>
      <c r="D27" s="25" t="n">
        <f aca="false">C27*(1-Assumptions!$B$20)+Assumptions!$B$18</f>
        <v>6.9203</v>
      </c>
      <c r="E27" s="25" t="n">
        <f aca="false">D27*(1-Assumptions!$B$20)+Assumptions!$B$18</f>
        <v>8.851097</v>
      </c>
      <c r="F27" s="25" t="n">
        <f aca="false">E27*(1-Assumptions!$B$20)+Assumptions!$B$18</f>
        <v>10.76258603</v>
      </c>
      <c r="G27" s="25" t="n">
        <f aca="false">F27*(1-Assumptions!$B$20)+Assumptions!$B$18</f>
        <v>12.6549601697</v>
      </c>
      <c r="H27" s="25" t="n">
        <f aca="false">G27*(1-Assumptions!$B$20)+Assumptions!$B$18</f>
        <v>14.528410568003</v>
      </c>
      <c r="I27" s="25" t="n">
        <f aca="false">H27*(1-Assumptions!$B$20)+Assumptions!$B$18</f>
        <v>16.383126462323</v>
      </c>
      <c r="J27" s="25" t="n">
        <f aca="false">I27*(1-Assumptions!$B$20)+Assumptions!$B$18</f>
        <v>18.2192951976997</v>
      </c>
      <c r="K27" s="25" t="n">
        <f aca="false">J27*(1-Assumptions!$B$20)+Assumptions!$B$18</f>
        <v>20.0371022457227</v>
      </c>
      <c r="L27" s="25" t="n">
        <f aca="false">K27*(1-Assumptions!$B$20)+Assumptions!$B$18</f>
        <v>21.8367312232655</v>
      </c>
      <c r="M27" s="25" t="n">
        <f aca="false">L27*(1-Assumptions!$B$20)+Assumptions!$B$18</f>
        <v>23.6183639110329</v>
      </c>
    </row>
    <row r="28" customFormat="false" ht="15" hidden="false" customHeight="false" outlineLevel="0" collapsed="false">
      <c r="A28" s="7" t="s">
        <v>162</v>
      </c>
      <c r="B28" s="15" t="n">
        <f aca="false">B27*Assumptions!$B$19</f>
        <v>675000</v>
      </c>
      <c r="C28" s="15" t="n">
        <f aca="false">C27*Assumptions!$B$19</f>
        <v>1118250</v>
      </c>
      <c r="D28" s="15" t="n">
        <f aca="false">D27*Assumptions!$B$19</f>
        <v>1557067.5</v>
      </c>
      <c r="E28" s="15" t="n">
        <f aca="false">E27*Assumptions!$B$19</f>
        <v>1991496.825</v>
      </c>
      <c r="F28" s="15" t="n">
        <f aca="false">F27*Assumptions!$B$19</f>
        <v>2421581.85675</v>
      </c>
      <c r="G28" s="15" t="n">
        <f aca="false">G27*Assumptions!$B$19</f>
        <v>2847366.0381825</v>
      </c>
      <c r="H28" s="15" t="n">
        <f aca="false">H27*Assumptions!$B$19</f>
        <v>3268892.37780067</v>
      </c>
      <c r="I28" s="15" t="n">
        <f aca="false">I27*Assumptions!$B$19</f>
        <v>3686203.45402267</v>
      </c>
      <c r="J28" s="15" t="n">
        <f aca="false">J27*Assumptions!$B$19</f>
        <v>4099341.41948244</v>
      </c>
      <c r="K28" s="15" t="n">
        <f aca="false">K27*Assumptions!$B$19</f>
        <v>4508348.00528762</v>
      </c>
      <c r="L28" s="15" t="n">
        <f aca="false">L27*Assumptions!$B$19</f>
        <v>4913264.52523474</v>
      </c>
      <c r="M28" s="15" t="n">
        <f aca="false">M27*Assumptions!$B$19</f>
        <v>5314131.87998239</v>
      </c>
    </row>
    <row r="29" customFormat="false" ht="15" hidden="false" customHeight="false" outlineLevel="0" collapsed="false">
      <c r="A29" s="7" t="s">
        <v>163</v>
      </c>
      <c r="B29" s="15" t="n">
        <f aca="false">Assumptions!$B$23*Assumptions!$B$25</f>
        <v>750000</v>
      </c>
      <c r="C29" s="15" t="n">
        <f aca="false">B29*(1+Assumptions!$B$24)</f>
        <v>787500</v>
      </c>
      <c r="D29" s="15" t="n">
        <f aca="false">C29*(1+Assumptions!$B$24)</f>
        <v>826875</v>
      </c>
      <c r="E29" s="15" t="n">
        <f aca="false">D29*(1+Assumptions!$B$24)</f>
        <v>868218.75</v>
      </c>
      <c r="F29" s="15" t="n">
        <f aca="false">E29*(1+Assumptions!$B$24)</f>
        <v>911629.6875</v>
      </c>
      <c r="G29" s="15" t="n">
        <f aca="false">F29*(1+Assumptions!$B$24)</f>
        <v>957211.171875</v>
      </c>
      <c r="H29" s="15" t="n">
        <f aca="false">G29*(1+Assumptions!$B$24)</f>
        <v>1005071.73046875</v>
      </c>
      <c r="I29" s="15" t="n">
        <f aca="false">H29*(1+Assumptions!$B$24)</f>
        <v>1055325.31699219</v>
      </c>
      <c r="J29" s="15" t="n">
        <f aca="false">I29*(1+Assumptions!$B$24)</f>
        <v>1108091.5828418</v>
      </c>
      <c r="K29" s="15" t="n">
        <f aca="false">J29*(1+Assumptions!$B$24)</f>
        <v>1163496.16198389</v>
      </c>
      <c r="L29" s="15" t="n">
        <f aca="false">K29*(1+Assumptions!$B$24)</f>
        <v>1221670.97008308</v>
      </c>
      <c r="M29" s="15" t="n">
        <f aca="false">L29*(1+Assumptions!$B$24)</f>
        <v>1282754.51858724</v>
      </c>
    </row>
    <row r="30" customFormat="false" ht="15" hidden="false" customHeight="false" outlineLevel="0" collapsed="false">
      <c r="A30" s="7" t="s">
        <v>164</v>
      </c>
      <c r="B30" s="15" t="n">
        <f aca="false">0</f>
        <v>0</v>
      </c>
      <c r="C30" s="15" t="n">
        <f aca="false">0</f>
        <v>0</v>
      </c>
      <c r="D30" s="15" t="n">
        <f aca="false">Assumptions!$B$28</f>
        <v>22500000</v>
      </c>
      <c r="E30" s="15" t="n">
        <f aca="false">0</f>
        <v>0</v>
      </c>
      <c r="F30" s="15" t="n">
        <f aca="false">0</f>
        <v>0</v>
      </c>
      <c r="G30" s="15" t="n">
        <f aca="false">Assumptions!$B$28</f>
        <v>22500000</v>
      </c>
      <c r="H30" s="15" t="n">
        <f aca="false">0</f>
        <v>0</v>
      </c>
      <c r="I30" s="15" t="n">
        <f aca="false">0</f>
        <v>0</v>
      </c>
      <c r="J30" s="15" t="n">
        <f aca="false">Assumptions!$B$28</f>
        <v>22500000</v>
      </c>
      <c r="K30" s="15" t="n">
        <f aca="false">0</f>
        <v>0</v>
      </c>
      <c r="L30" s="15" t="n">
        <f aca="false">0</f>
        <v>0</v>
      </c>
      <c r="M30" s="15" t="n">
        <f aca="false">Assumptions!$B$28</f>
        <v>22500000</v>
      </c>
    </row>
    <row r="31" customFormat="false" ht="15" hidden="false" customHeight="false" outlineLevel="0" collapsed="false">
      <c r="A31" s="9" t="s">
        <v>165</v>
      </c>
      <c r="B31" s="27" t="n">
        <f aca="false">B26+B28+B29+B30</f>
        <v>1605000</v>
      </c>
      <c r="C31" s="27" t="n">
        <f aca="false">C26+C28+C29+C30</f>
        <v>2272950</v>
      </c>
      <c r="D31" s="27" t="n">
        <f aca="false">D26+D28+D29+D30</f>
        <v>25446406.5</v>
      </c>
      <c r="E31" s="27" t="n">
        <f aca="false">E26+E28+E29+E30</f>
        <v>3626429.175</v>
      </c>
      <c r="F31" s="27" t="n">
        <f aca="false">F26+F28+F29+F30</f>
        <v>4314144.61305</v>
      </c>
      <c r="G31" s="27" t="n">
        <f aca="false">G26+G28+G29+G30</f>
        <v>27510752.0099295</v>
      </c>
      <c r="H31" s="27" t="n">
        <f aca="false">H26+H28+H29+H30</f>
        <v>5717529.29427647</v>
      </c>
      <c r="I31" s="27" t="n">
        <f aca="false">I26+I28+I29+I30</f>
        <v>6435839.71796193</v>
      </c>
      <c r="J31" s="27" t="n">
        <f aca="false">J26+J28+J29+J30</f>
        <v>29667138.9492442</v>
      </c>
      <c r="K31" s="27" t="n">
        <f aca="false">K26+K28+K29+K30</f>
        <v>7912982.70919343</v>
      </c>
      <c r="L31" s="27" t="n">
        <f aca="false">L26+L28+L29+L30</f>
        <v>8675034.99507198</v>
      </c>
      <c r="M31" s="27" t="n">
        <f aca="false">M26+M28+M29+M30</f>
        <v>31955076.9378034</v>
      </c>
    </row>
    <row r="32" customFormat="false" ht="15" hidden="false" customHeight="false" outlineLevel="0" collapsed="false">
      <c r="A32" s="9" t="s">
        <v>166</v>
      </c>
      <c r="B32" s="27" t="n">
        <f aca="false">(B35+(Assumptions!$B$33+Assumptions!$B$34*B24)+(Assumptions!$B$35+Assumptions!$B$36*B31)+Assumptions!$B$37)*(1+Assumptions!$B$38)</f>
        <v>24295320</v>
      </c>
      <c r="C32" s="27" t="n">
        <f aca="false">(C35+(Assumptions!$B$33+Assumptions!$B$34*C24)+(Assumptions!$B$35+Assumptions!$B$36*C31)+Assumptions!$B$37)*(1+Assumptions!$B$38)</f>
        <v>24419467.8</v>
      </c>
      <c r="D32" s="27" t="n">
        <f aca="false">(D35+(Assumptions!$B$33+Assumptions!$B$34*D24)+(Assumptions!$B$35+Assumptions!$B$36*D31)+Assumptions!$B$37)*(1+Assumptions!$B$38)</f>
        <v>26439521.346</v>
      </c>
      <c r="E32" s="27" t="n">
        <f aca="false">(E35+(Assumptions!$B$33+Assumptions!$B$34*E24)+(Assumptions!$B$35+Assumptions!$B$36*E31)+Assumptions!$B$37)*(1+Assumptions!$B$38)</f>
        <v>25253005.1067</v>
      </c>
      <c r="F32" s="27" t="n">
        <f aca="false">(F35+(Assumptions!$B$33+Assumptions!$B$34*F24)+(Assumptions!$B$35+Assumptions!$B$36*F31)+Assumptions!$B$37)*(1+Assumptions!$B$38)</f>
        <v>25396484.0079762</v>
      </c>
      <c r="G32" s="27" t="n">
        <f aca="false">(G35+(Assumptions!$B$33+Assumptions!$B$34*G24)+(Assumptions!$B$35+Assumptions!$B$36*G31)+Assumptions!$B$37)*(1+Assumptions!$B$38)</f>
        <v>27437566.6981525</v>
      </c>
      <c r="H32" s="27" t="n">
        <f aca="false">(H35+(Assumptions!$B$33+Assumptions!$B$34*H24)+(Assumptions!$B$35+Assumptions!$B$36*H31)+Assumptions!$B$37)*(1+Assumptions!$B$38)</f>
        <v>26290919.0723831</v>
      </c>
      <c r="I32" s="27" t="n">
        <f aca="false">(I35+(Assumptions!$B$33+Assumptions!$B$34*I24)+(Assumptions!$B$35+Assumptions!$B$36*I31)+Assumptions!$B$37)*(1+Assumptions!$B$38)</f>
        <v>26459228.0769058</v>
      </c>
      <c r="J32" s="27" t="n">
        <f aca="false">(J35+(Assumptions!$B$33+Assumptions!$B$34*J24)+(Assumptions!$B$35+Assumptions!$B$36*J31)+Assumptions!$B$37)*(1+Assumptions!$B$38)</f>
        <v>28527265.8155813</v>
      </c>
      <c r="K32" s="27" t="n">
        <f aca="false">(K35+(Assumptions!$B$33+Assumptions!$B$34*K24)+(Assumptions!$B$35+Assumptions!$B$36*K31)+Assumptions!$B$37)*(1+Assumptions!$B$38)</f>
        <v>27427384.2829246</v>
      </c>
      <c r="L32" s="27" t="n">
        <f aca="false">(L35+(Assumptions!$B$33+Assumptions!$B$34*L24)+(Assumptions!$B$35+Assumptions!$B$36*L31)+Assumptions!$B$37)*(1+Assumptions!$B$38)</f>
        <v>27627408.9497666</v>
      </c>
      <c r="M32" s="27" t="n">
        <f aca="false">(M35+(Assumptions!$B$33+Assumptions!$B$34*M24)+(Assumptions!$B$35+Assumptions!$B$36*M31)+Assumptions!$B$37)*(1+Assumptions!$B$38)</f>
        <v>29729825.7297704</v>
      </c>
    </row>
    <row r="33" customFormat="false" ht="15" hidden="false" customHeight="false" outlineLevel="0" collapsed="false">
      <c r="A33" s="7" t="s">
        <v>167</v>
      </c>
      <c r="B33" s="15" t="n">
        <f aca="false">B31-B32</f>
        <v>-22690320</v>
      </c>
      <c r="C33" s="15" t="n">
        <f aca="false">C31-C32</f>
        <v>-22146517.8</v>
      </c>
      <c r="D33" s="15" t="n">
        <f aca="false">D31-D32</f>
        <v>-993114.846000001</v>
      </c>
      <c r="E33" s="15" t="n">
        <f aca="false">E31-E32</f>
        <v>-21626575.9317</v>
      </c>
      <c r="F33" s="15" t="n">
        <f aca="false">F31-F32</f>
        <v>-21082339.3949262</v>
      </c>
      <c r="G33" s="15" t="n">
        <f aca="false">G31-G32</f>
        <v>73185.3117770217</v>
      </c>
      <c r="H33" s="15" t="n">
        <f aca="false">H31-H32</f>
        <v>-20573389.7781066</v>
      </c>
      <c r="I33" s="15" t="n">
        <f aca="false">I31-I32</f>
        <v>-20023388.3589439</v>
      </c>
      <c r="J33" s="15" t="n">
        <f aca="false">J31-J32</f>
        <v>1139873.13366291</v>
      </c>
      <c r="K33" s="15" t="n">
        <f aca="false">K31-K32</f>
        <v>-19514401.5737311</v>
      </c>
      <c r="L33" s="15" t="n">
        <f aca="false">L31-L32</f>
        <v>-18952373.9546946</v>
      </c>
      <c r="M33" s="15" t="n">
        <f aca="false">M31-M32</f>
        <v>2225251.20803301</v>
      </c>
    </row>
    <row r="34" customFormat="false" ht="15" hidden="false" customHeight="false" outlineLevel="0" collapsed="false">
      <c r="A34" s="9" t="s">
        <v>168</v>
      </c>
      <c r="B34" s="27" t="n">
        <f aca="false">Assumptions!$B$7+B33</f>
        <v>52309680</v>
      </c>
      <c r="C34" s="27" t="n">
        <f aca="false">B34+C33</f>
        <v>30163162.2</v>
      </c>
      <c r="D34" s="27" t="n">
        <f aca="false">C34+D33</f>
        <v>29170047.354</v>
      </c>
      <c r="E34" s="27" t="n">
        <f aca="false">D34+E33</f>
        <v>7543471.4223</v>
      </c>
      <c r="F34" s="27" t="n">
        <f aca="false">E34+F33</f>
        <v>-13538867.9726262</v>
      </c>
      <c r="G34" s="27" t="n">
        <f aca="false">F34+G33</f>
        <v>-13465682.6608492</v>
      </c>
      <c r="H34" s="27" t="n">
        <f aca="false">G34+H33</f>
        <v>-34039072.4389558</v>
      </c>
      <c r="I34" s="27" t="n">
        <f aca="false">H34+I33</f>
        <v>-54062460.7978997</v>
      </c>
      <c r="J34" s="27" t="n">
        <f aca="false">I34+J33</f>
        <v>-52922587.6642368</v>
      </c>
      <c r="K34" s="27" t="n">
        <f aca="false">J34+K33</f>
        <v>-72436989.2379679</v>
      </c>
      <c r="L34" s="27" t="n">
        <f aca="false">K34+L33</f>
        <v>-91389363.1926625</v>
      </c>
      <c r="M34" s="27" t="n">
        <f aca="false">L34+M33</f>
        <v>-89164111.9846295</v>
      </c>
    </row>
    <row r="35" customFormat="false" ht="15" hidden="false" customHeight="false" outlineLevel="0" collapsed="false">
      <c r="A35" s="7" t="s">
        <v>169</v>
      </c>
      <c r="B35" s="15" t="n">
        <f aca="false">Assumptions!$B$31</f>
        <v>18000000</v>
      </c>
      <c r="C35" s="15" t="n">
        <f aca="false">B35</f>
        <v>18000000</v>
      </c>
      <c r="D35" s="15" t="n">
        <f aca="false">C35</f>
        <v>18000000</v>
      </c>
      <c r="E35" s="15" t="n">
        <f aca="false">D35*(1+Assumptions!$B$32)</f>
        <v>18540000</v>
      </c>
      <c r="F35" s="15" t="n">
        <f aca="false">E35</f>
        <v>18540000</v>
      </c>
      <c r="G35" s="15" t="n">
        <f aca="false">F35</f>
        <v>18540000</v>
      </c>
      <c r="H35" s="15" t="n">
        <f aca="false">G35*(1+Assumptions!$B$32)</f>
        <v>19096200</v>
      </c>
      <c r="I35" s="15" t="n">
        <f aca="false">H35</f>
        <v>19096200</v>
      </c>
      <c r="J35" s="15" t="n">
        <f aca="false">I35</f>
        <v>19096200</v>
      </c>
      <c r="K35" s="15" t="n">
        <f aca="false">J35*(1+Assumptions!$B$32)</f>
        <v>19669086</v>
      </c>
      <c r="L35" s="15" t="n">
        <f aca="false">K35</f>
        <v>19669086</v>
      </c>
      <c r="M35" s="15" t="n">
        <f aca="false">L35</f>
        <v>19669086</v>
      </c>
    </row>
    <row r="38" customFormat="false" ht="18" hidden="false" customHeight="true" outlineLevel="0" collapsed="false">
      <c r="A38" s="34" t="s">
        <v>171</v>
      </c>
      <c r="B38" s="34"/>
      <c r="C38" s="34"/>
      <c r="D38" s="34"/>
      <c r="E38" s="34"/>
      <c r="F38" s="34"/>
      <c r="G38" s="34"/>
      <c r="H38" s="34"/>
      <c r="I38" s="34"/>
      <c r="J38" s="34"/>
      <c r="K38" s="34"/>
      <c r="L38" s="34"/>
      <c r="M38" s="34"/>
      <c r="N38" s="34"/>
    </row>
    <row r="39" customFormat="false" ht="15.75" hidden="false" customHeight="true" outlineLevel="0" collapsed="false">
      <c r="A39" s="17"/>
      <c r="B39" s="14" t="s">
        <v>95</v>
      </c>
      <c r="C39" s="14" t="s">
        <v>96</v>
      </c>
      <c r="D39" s="14" t="s">
        <v>97</v>
      </c>
      <c r="E39" s="14" t="s">
        <v>98</v>
      </c>
      <c r="F39" s="14" t="s">
        <v>99</v>
      </c>
      <c r="G39" s="14" t="s">
        <v>100</v>
      </c>
      <c r="H39" s="14" t="s">
        <v>101</v>
      </c>
      <c r="I39" s="14" t="s">
        <v>102</v>
      </c>
      <c r="J39" s="14" t="s">
        <v>103</v>
      </c>
      <c r="K39" s="14" t="s">
        <v>104</v>
      </c>
      <c r="L39" s="14" t="s">
        <v>105</v>
      </c>
      <c r="M39" s="14" t="s">
        <v>106</v>
      </c>
    </row>
    <row r="40" customFormat="false" ht="15" hidden="false" customHeight="false" outlineLevel="0" collapsed="false">
      <c r="A40" s="7" t="s">
        <v>107</v>
      </c>
      <c r="B40" s="25" t="n">
        <f aca="false">Assumptions!$B$10</f>
        <v>800</v>
      </c>
      <c r="C40" s="25" t="n">
        <f aca="false">B40*(1+Assumptions!$D$11)</f>
        <v>896</v>
      </c>
      <c r="D40" s="25" t="n">
        <f aca="false">C40*(1+Assumptions!$D$11)</f>
        <v>1003.52</v>
      </c>
      <c r="E40" s="25" t="n">
        <f aca="false">D40*(1+Assumptions!$D$11)</f>
        <v>1123.9424</v>
      </c>
      <c r="F40" s="25" t="n">
        <f aca="false">E40*(1+Assumptions!$D$11)</f>
        <v>1258.815488</v>
      </c>
      <c r="G40" s="25" t="n">
        <f aca="false">F40*(1+Assumptions!$D$11)</f>
        <v>1409.87334656</v>
      </c>
      <c r="H40" s="25" t="n">
        <f aca="false">G40*(1+Assumptions!$D$11)</f>
        <v>1579.0581481472</v>
      </c>
      <c r="I40" s="25" t="n">
        <f aca="false">H40*(1+Assumptions!$D$11)</f>
        <v>1768.54512592486</v>
      </c>
      <c r="J40" s="25" t="n">
        <f aca="false">I40*(1+Assumptions!$D$11)</f>
        <v>1980.77054103585</v>
      </c>
      <c r="K40" s="25" t="n">
        <f aca="false">J40*(1+Assumptions!$D$11)</f>
        <v>2218.46300596015</v>
      </c>
      <c r="L40" s="25" t="n">
        <f aca="false">K40*(1+Assumptions!$D$11)</f>
        <v>2484.67856667537</v>
      </c>
      <c r="M40" s="25" t="n">
        <f aca="false">L40*(1+Assumptions!$D$11)</f>
        <v>2782.83999467641</v>
      </c>
    </row>
    <row r="41" customFormat="false" ht="15" hidden="false" customHeight="false" outlineLevel="0" collapsed="false">
      <c r="A41" s="7" t="s">
        <v>160</v>
      </c>
      <c r="B41" s="25" t="n">
        <f aca="false">B40</f>
        <v>800</v>
      </c>
      <c r="C41" s="25" t="n">
        <f aca="false">B41+C40</f>
        <v>1696</v>
      </c>
      <c r="D41" s="25" t="n">
        <f aca="false">C41+D40</f>
        <v>2699.52</v>
      </c>
      <c r="E41" s="25" t="n">
        <f aca="false">D41+E40</f>
        <v>3823.4624</v>
      </c>
      <c r="F41" s="25" t="n">
        <f aca="false">E41+F40</f>
        <v>5082.277888</v>
      </c>
      <c r="G41" s="25" t="n">
        <f aca="false">F41+G40</f>
        <v>6492.15123456</v>
      </c>
      <c r="H41" s="25" t="n">
        <f aca="false">G41+H40</f>
        <v>8071.2093827072</v>
      </c>
      <c r="I41" s="25" t="n">
        <f aca="false">H41+I40</f>
        <v>9839.75450863207</v>
      </c>
      <c r="J41" s="25" t="n">
        <f aca="false">I41+J40</f>
        <v>11820.5250496679</v>
      </c>
      <c r="K41" s="25" t="n">
        <f aca="false">J41+K40</f>
        <v>14038.9880556281</v>
      </c>
      <c r="L41" s="25" t="n">
        <f aca="false">K41+L40</f>
        <v>16523.6666223034</v>
      </c>
      <c r="M41" s="25" t="n">
        <f aca="false">L41+M40</f>
        <v>19306.5066169799</v>
      </c>
    </row>
    <row r="42" customFormat="false" ht="15" hidden="false" customHeight="false" outlineLevel="0" collapsed="false">
      <c r="A42" s="7" t="s">
        <v>110</v>
      </c>
      <c r="B42" s="25" t="n">
        <f aca="false">B40*Assumptions!$D$12</f>
        <v>56</v>
      </c>
      <c r="C42" s="25" t="n">
        <f aca="false">B42*(1-Assumptions!$D$14)+C40*Assumptions!$D$12</f>
        <v>117.04</v>
      </c>
      <c r="D42" s="25" t="n">
        <f aca="false">C42*(1-Assumptions!$D$14)+D40*Assumptions!$D$12</f>
        <v>183.7752</v>
      </c>
      <c r="E42" s="25" t="n">
        <f aca="false">D42*(1-Assumptions!$D$14)+E40*Assumptions!$D$12</f>
        <v>256.937912</v>
      </c>
      <c r="F42" s="25" t="n">
        <f aca="false">E42*(1-Assumptions!$D$14)+F40*Assumptions!$D$12</f>
        <v>337.3468588</v>
      </c>
      <c r="G42" s="25" t="n">
        <f aca="false">F42*(1-Assumptions!$D$14)+G40*Assumptions!$D$12</f>
        <v>425.9175872952</v>
      </c>
      <c r="H42" s="25" t="n">
        <f aca="false">G42*(1-Assumptions!$D$14)+H40*Assumptions!$D$12</f>
        <v>523.674130046648</v>
      </c>
      <c r="I42" s="25" t="n">
        <f aca="false">H42*(1-Assumptions!$D$14)+I40*Assumptions!$D$12</f>
        <v>631.762064959989</v>
      </c>
      <c r="J42" s="25" t="n">
        <f aca="false">I42*(1-Assumptions!$D$14)+J40*Assumptions!$D$12</f>
        <v>751.463140883699</v>
      </c>
      <c r="K42" s="25" t="n">
        <f aca="false">J42*(1-Assumptions!$D$14)+K40*Assumptions!$D$12</f>
        <v>884.211657074399</v>
      </c>
      <c r="L42" s="25" t="n">
        <f aca="false">K42*(1-Assumptions!$D$14)+L40*Assumptions!$D$12</f>
        <v>1031.61280702944</v>
      </c>
      <c r="M42" s="25" t="n">
        <f aca="false">L42*(1-Assumptions!$D$14)+M40*Assumptions!$D$12</f>
        <v>1195.46322244591</v>
      </c>
    </row>
    <row r="43" customFormat="false" ht="15" hidden="false" customHeight="false" outlineLevel="0" collapsed="false">
      <c r="A43" s="7" t="s">
        <v>161</v>
      </c>
      <c r="B43" s="15" t="n">
        <f aca="false">B42*Assumptions!$B$13</f>
        <v>252000</v>
      </c>
      <c r="C43" s="15" t="n">
        <f aca="false">C42*Assumptions!$B$13</f>
        <v>526680</v>
      </c>
      <c r="D43" s="15" t="n">
        <f aca="false">D42*Assumptions!$B$13</f>
        <v>826988.4</v>
      </c>
      <c r="E43" s="15" t="n">
        <f aca="false">E42*Assumptions!$B$13</f>
        <v>1156220.604</v>
      </c>
      <c r="F43" s="15" t="n">
        <f aca="false">F42*Assumptions!$B$13</f>
        <v>1518060.8646</v>
      </c>
      <c r="G43" s="15" t="n">
        <f aca="false">G42*Assumptions!$B$13</f>
        <v>1916629.1428284</v>
      </c>
      <c r="H43" s="15" t="n">
        <f aca="false">H42*Assumptions!$B$13</f>
        <v>2356533.58520992</v>
      </c>
      <c r="I43" s="15" t="n">
        <f aca="false">I42*Assumptions!$B$13</f>
        <v>2842929.29231995</v>
      </c>
      <c r="J43" s="15" t="n">
        <f aca="false">J42*Assumptions!$B$13</f>
        <v>3381584.13397665</v>
      </c>
      <c r="K43" s="15" t="n">
        <f aca="false">K42*Assumptions!$B$13</f>
        <v>3978952.45683479</v>
      </c>
      <c r="L43" s="15" t="n">
        <f aca="false">L42*Assumptions!$B$13</f>
        <v>4642257.63163249</v>
      </c>
      <c r="M43" s="15" t="n">
        <f aca="false">M42*Assumptions!$B$13</f>
        <v>5379584.50100659</v>
      </c>
    </row>
    <row r="44" customFormat="false" ht="15" hidden="false" customHeight="false" outlineLevel="0" collapsed="false">
      <c r="A44" s="7" t="s">
        <v>113</v>
      </c>
      <c r="B44" s="25" t="n">
        <f aca="false">Assumptions!$B$17</f>
        <v>3</v>
      </c>
      <c r="C44" s="25" t="n">
        <f aca="false">B44*(1-Assumptions!$D$20)+Assumptions!$D$18</f>
        <v>5.985</v>
      </c>
      <c r="D44" s="25" t="n">
        <f aca="false">C44*(1-Assumptions!$D$20)+Assumptions!$D$18</f>
        <v>8.955075</v>
      </c>
      <c r="E44" s="25" t="n">
        <f aca="false">D44*(1-Assumptions!$D$20)+Assumptions!$D$18</f>
        <v>11.910299625</v>
      </c>
      <c r="F44" s="25" t="n">
        <f aca="false">E44*(1-Assumptions!$D$20)+Assumptions!$D$18</f>
        <v>14.850748126875</v>
      </c>
      <c r="G44" s="25" t="n">
        <f aca="false">F44*(1-Assumptions!$D$20)+Assumptions!$D$18</f>
        <v>17.7764943862406</v>
      </c>
      <c r="H44" s="25" t="n">
        <f aca="false">G44*(1-Assumptions!$D$20)+Assumptions!$D$18</f>
        <v>20.6876119143094</v>
      </c>
      <c r="I44" s="25" t="n">
        <f aca="false">H44*(1-Assumptions!$D$20)+Assumptions!$D$18</f>
        <v>23.5841738547379</v>
      </c>
      <c r="J44" s="25" t="n">
        <f aca="false">I44*(1-Assumptions!$D$20)+Assumptions!$D$18</f>
        <v>26.4662529854642</v>
      </c>
      <c r="K44" s="25" t="n">
        <f aca="false">J44*(1-Assumptions!$D$20)+Assumptions!$D$18</f>
        <v>29.3339217205369</v>
      </c>
      <c r="L44" s="25" t="n">
        <f aca="false">K44*(1-Assumptions!$D$20)+Assumptions!$D$18</f>
        <v>32.1872521119342</v>
      </c>
      <c r="M44" s="25" t="n">
        <f aca="false">L44*(1-Assumptions!$D$20)+Assumptions!$D$18</f>
        <v>35.0263158513745</v>
      </c>
    </row>
    <row r="45" customFormat="false" ht="15" hidden="false" customHeight="false" outlineLevel="0" collapsed="false">
      <c r="A45" s="7" t="s">
        <v>162</v>
      </c>
      <c r="B45" s="15" t="n">
        <f aca="false">B44*Assumptions!$B$19</f>
        <v>675000</v>
      </c>
      <c r="C45" s="15" t="n">
        <f aca="false">C44*Assumptions!$B$19</f>
        <v>1346625</v>
      </c>
      <c r="D45" s="15" t="n">
        <f aca="false">D44*Assumptions!$B$19</f>
        <v>2014891.875</v>
      </c>
      <c r="E45" s="15" t="n">
        <f aca="false">E44*Assumptions!$B$19</f>
        <v>2679817.415625</v>
      </c>
      <c r="F45" s="15" t="n">
        <f aca="false">F44*Assumptions!$B$19</f>
        <v>3341418.32854687</v>
      </c>
      <c r="G45" s="15" t="n">
        <f aca="false">G44*Assumptions!$B$19</f>
        <v>3999711.23690414</v>
      </c>
      <c r="H45" s="15" t="n">
        <f aca="false">H44*Assumptions!$B$19</f>
        <v>4654712.68071962</v>
      </c>
      <c r="I45" s="15" t="n">
        <f aca="false">I44*Assumptions!$B$19</f>
        <v>5306439.11731602</v>
      </c>
      <c r="J45" s="15" t="n">
        <f aca="false">J44*Assumptions!$B$19</f>
        <v>5954906.92172944</v>
      </c>
      <c r="K45" s="15" t="n">
        <f aca="false">K44*Assumptions!$B$19</f>
        <v>6600132.38712079</v>
      </c>
      <c r="L45" s="15" t="n">
        <f aca="false">L44*Assumptions!$B$19</f>
        <v>7242131.72518519</v>
      </c>
      <c r="M45" s="15" t="n">
        <f aca="false">M44*Assumptions!$B$19</f>
        <v>7880921.06655926</v>
      </c>
    </row>
    <row r="46" customFormat="false" ht="15" hidden="false" customHeight="false" outlineLevel="0" collapsed="false">
      <c r="A46" s="7" t="s">
        <v>163</v>
      </c>
      <c r="B46" s="15" t="n">
        <f aca="false">Assumptions!$B$23*Assumptions!$B$25</f>
        <v>750000</v>
      </c>
      <c r="C46" s="15" t="n">
        <f aca="false">B46*(1+Assumptions!$D$24)</f>
        <v>810000</v>
      </c>
      <c r="D46" s="15" t="n">
        <f aca="false">C46*(1+Assumptions!$D$24)</f>
        <v>874800</v>
      </c>
      <c r="E46" s="15" t="n">
        <f aca="false">D46*(1+Assumptions!$D$24)</f>
        <v>944784</v>
      </c>
      <c r="F46" s="15" t="n">
        <f aca="false">E46*(1+Assumptions!$D$24)</f>
        <v>1020366.72</v>
      </c>
      <c r="G46" s="15" t="n">
        <f aca="false">F46*(1+Assumptions!$D$24)</f>
        <v>1101996.0576</v>
      </c>
      <c r="H46" s="15" t="n">
        <f aca="false">G46*(1+Assumptions!$D$24)</f>
        <v>1190155.742208</v>
      </c>
      <c r="I46" s="15" t="n">
        <f aca="false">H46*(1+Assumptions!$D$24)</f>
        <v>1285368.20158464</v>
      </c>
      <c r="J46" s="15" t="n">
        <f aca="false">I46*(1+Assumptions!$D$24)</f>
        <v>1388197.65771141</v>
      </c>
      <c r="K46" s="15" t="n">
        <f aca="false">J46*(1+Assumptions!$D$24)</f>
        <v>1499253.47032833</v>
      </c>
      <c r="L46" s="15" t="n">
        <f aca="false">K46*(1+Assumptions!$D$24)</f>
        <v>1619193.74795459</v>
      </c>
      <c r="M46" s="15" t="n">
        <f aca="false">L46*(1+Assumptions!$D$24)</f>
        <v>1748729.24779096</v>
      </c>
    </row>
    <row r="47" customFormat="false" ht="15" hidden="false" customHeight="false" outlineLevel="0" collapsed="false">
      <c r="A47" s="7" t="s">
        <v>164</v>
      </c>
      <c r="B47" s="15" t="n">
        <f aca="false">0</f>
        <v>0</v>
      </c>
      <c r="C47" s="15" t="n">
        <f aca="false">0</f>
        <v>0</v>
      </c>
      <c r="D47" s="15" t="n">
        <f aca="false">Assumptions!$D$28</f>
        <v>30000000</v>
      </c>
      <c r="E47" s="15" t="n">
        <f aca="false">0</f>
        <v>0</v>
      </c>
      <c r="F47" s="15" t="n">
        <f aca="false">0</f>
        <v>0</v>
      </c>
      <c r="G47" s="15" t="n">
        <f aca="false">Assumptions!$D$28</f>
        <v>30000000</v>
      </c>
      <c r="H47" s="15" t="n">
        <f aca="false">0</f>
        <v>0</v>
      </c>
      <c r="I47" s="15" t="n">
        <f aca="false">0</f>
        <v>0</v>
      </c>
      <c r="J47" s="15" t="n">
        <f aca="false">Assumptions!$D$28</f>
        <v>30000000</v>
      </c>
      <c r="K47" s="15" t="n">
        <f aca="false">0</f>
        <v>0</v>
      </c>
      <c r="L47" s="15" t="n">
        <f aca="false">0</f>
        <v>0</v>
      </c>
      <c r="M47" s="15" t="n">
        <f aca="false">Assumptions!$D$28</f>
        <v>30000000</v>
      </c>
    </row>
    <row r="48" customFormat="false" ht="15" hidden="false" customHeight="false" outlineLevel="0" collapsed="false">
      <c r="A48" s="9" t="s">
        <v>165</v>
      </c>
      <c r="B48" s="27" t="n">
        <f aca="false">B43+B45+B46+B47</f>
        <v>1677000</v>
      </c>
      <c r="C48" s="27" t="n">
        <f aca="false">C43+C45+C46+C47</f>
        <v>2683305</v>
      </c>
      <c r="D48" s="27" t="n">
        <f aca="false">D43+D45+D46+D47</f>
        <v>33716680.275</v>
      </c>
      <c r="E48" s="27" t="n">
        <f aca="false">E43+E45+E46+E47</f>
        <v>4780822.019625</v>
      </c>
      <c r="F48" s="27" t="n">
        <f aca="false">F43+F45+F46+F47</f>
        <v>5879845.91314688</v>
      </c>
      <c r="G48" s="27" t="n">
        <f aca="false">G43+G45+G46+G47</f>
        <v>37018336.4373325</v>
      </c>
      <c r="H48" s="27" t="n">
        <f aca="false">H43+H45+H46+H47</f>
        <v>8201402.00813754</v>
      </c>
      <c r="I48" s="27" t="n">
        <f aca="false">I43+I45+I46+I47</f>
        <v>9434736.61122061</v>
      </c>
      <c r="J48" s="27" t="n">
        <f aca="false">J43+J45+J46+J47</f>
        <v>40724688.7134175</v>
      </c>
      <c r="K48" s="27" t="n">
        <f aca="false">K43+K45+K46+K47</f>
        <v>12078338.3142839</v>
      </c>
      <c r="L48" s="27" t="n">
        <f aca="false">L43+L45+L46+L47</f>
        <v>13503583.1047723</v>
      </c>
      <c r="M48" s="27" t="n">
        <f aca="false">M43+M45+M46+M47</f>
        <v>45009234.8153568</v>
      </c>
    </row>
    <row r="49" customFormat="false" ht="15" hidden="false" customHeight="false" outlineLevel="0" collapsed="false">
      <c r="A49" s="9" t="s">
        <v>166</v>
      </c>
      <c r="B49" s="27" t="n">
        <f aca="false">(B52+(Assumptions!$B$33+Assumptions!$B$34*B41)+(Assumptions!$B$35+Assumptions!$B$36*B48)+Assumptions!$B$37)*(1+Assumptions!$B$38)</f>
        <v>24301368</v>
      </c>
      <c r="C49" s="27" t="n">
        <f aca="false">(C52+(Assumptions!$B$33+Assumptions!$B$34*C41)+(Assumptions!$B$35+Assumptions!$B$36*C48)+Assumptions!$B$37)*(1+Assumptions!$B$38)</f>
        <v>24456457.62</v>
      </c>
      <c r="D49" s="27" t="n">
        <f aca="false">(D52+(Assumptions!$B$33+Assumptions!$B$34*D41)+(Assumptions!$B$35+Assumptions!$B$36*D48)+Assumptions!$B$37)*(1+Assumptions!$B$38)</f>
        <v>27142288.3431</v>
      </c>
      <c r="E49" s="27" t="n">
        <f aca="false">(E52+(Assumptions!$B$33+Assumptions!$B$34*E41)+(Assumptions!$B$35+Assumptions!$B$36*E48)+Assumptions!$B$37)*(1+Assumptions!$B$38)</f>
        <v>25367186.7136485</v>
      </c>
      <c r="F49" s="27" t="n">
        <f aca="false">(F52+(Assumptions!$B$33+Assumptions!$B$34*F41)+(Assumptions!$B$35+Assumptions!$B$36*F48)+Assumptions!$B$37)*(1+Assumptions!$B$38)</f>
        <v>25558636.4403843</v>
      </c>
      <c r="G49" s="27" t="n">
        <f aca="false">(G52+(Assumptions!$B$33+Assumptions!$B$34*G41)+(Assumptions!$B$35+Assumptions!$B$36*G48)+Assumptions!$B$37)*(1+Assumptions!$B$38)</f>
        <v>28285297.1704575</v>
      </c>
      <c r="H49" s="27" t="n">
        <f aca="false">(H52+(Assumptions!$B$33+Assumptions!$B$34*H41)+(Assumptions!$B$35+Assumptions!$B$36*H48)+Assumptions!$B$37)*(1+Assumptions!$B$38)</f>
        <v>26573035.5075717</v>
      </c>
      <c r="I49" s="27" t="n">
        <f aca="false">(I52+(Assumptions!$B$33+Assumptions!$B$34*I41)+(Assumptions!$B$35+Assumptions!$B$36*I48)+Assumptions!$B$37)*(1+Assumptions!$B$38)</f>
        <v>26815908.5428973</v>
      </c>
      <c r="J49" s="27" t="n">
        <f aca="false">(J52+(Assumptions!$B$33+Assumptions!$B$34*J41)+(Assumptions!$B$35+Assumptions!$B$36*J48)+Assumptions!$B$37)*(1+Assumptions!$B$38)</f>
        <v>29600250.1995884</v>
      </c>
      <c r="K49" s="27" t="n">
        <f aca="false">(K52+(Assumptions!$B$33+Assumptions!$B$34*K41)+(Assumptions!$B$35+Assumptions!$B$36*K48)+Assumptions!$B$37)*(1+Assumptions!$B$38)</f>
        <v>27970191.0277806</v>
      </c>
      <c r="L49" s="27" t="n">
        <f aca="false">(L52+(Assumptions!$B$33+Assumptions!$B$34*L41)+(Assumptions!$B$35+Assumptions!$B$36*L48)+Assumptions!$B$37)*(1+Assumptions!$B$38)</f>
        <v>28285580.0273073</v>
      </c>
      <c r="M49" s="27" t="n">
        <f aca="false">(M52+(Assumptions!$B$33+Assumptions!$B$34*M41)+(Assumptions!$B$35+Assumptions!$B$36*M48)+Assumptions!$B$37)*(1+Assumptions!$B$38)</f>
        <v>31151203.4205771</v>
      </c>
    </row>
    <row r="50" customFormat="false" ht="15" hidden="false" customHeight="false" outlineLevel="0" collapsed="false">
      <c r="A50" s="7" t="s">
        <v>167</v>
      </c>
      <c r="B50" s="15" t="n">
        <f aca="false">B48-B49</f>
        <v>-22624368</v>
      </c>
      <c r="C50" s="15" t="n">
        <f aca="false">C48-C49</f>
        <v>-21773152.62</v>
      </c>
      <c r="D50" s="15" t="n">
        <f aca="false">D48-D49</f>
        <v>6574391.9319</v>
      </c>
      <c r="E50" s="15" t="n">
        <f aca="false">E48-E49</f>
        <v>-20586364.6940235</v>
      </c>
      <c r="F50" s="15" t="n">
        <f aca="false">F48-F49</f>
        <v>-19678790.5272375</v>
      </c>
      <c r="G50" s="15" t="n">
        <f aca="false">G48-G49</f>
        <v>8733039.26687501</v>
      </c>
      <c r="H50" s="15" t="n">
        <f aca="false">H48-H49</f>
        <v>-18371633.4994342</v>
      </c>
      <c r="I50" s="15" t="n">
        <f aca="false">I48-I49</f>
        <v>-17381171.9316767</v>
      </c>
      <c r="J50" s="15" t="n">
        <f aca="false">J48-J49</f>
        <v>11124438.5138291</v>
      </c>
      <c r="K50" s="15" t="n">
        <f aca="false">K48-K49</f>
        <v>-15891852.7134966</v>
      </c>
      <c r="L50" s="15" t="n">
        <f aca="false">L48-L49</f>
        <v>-14781996.922535</v>
      </c>
      <c r="M50" s="15" t="n">
        <f aca="false">M48-M49</f>
        <v>13858031.3947797</v>
      </c>
    </row>
    <row r="51" customFormat="false" ht="15" hidden="false" customHeight="false" outlineLevel="0" collapsed="false">
      <c r="A51" s="9" t="s">
        <v>168</v>
      </c>
      <c r="B51" s="27" t="n">
        <f aca="false">Assumptions!$B$7+B50</f>
        <v>52375632</v>
      </c>
      <c r="C51" s="27" t="n">
        <f aca="false">B51+C50</f>
        <v>30602479.38</v>
      </c>
      <c r="D51" s="27" t="n">
        <f aca="false">C51+D50</f>
        <v>37176871.3119</v>
      </c>
      <c r="E51" s="27" t="n">
        <f aca="false">D51+E50</f>
        <v>16590506.6178765</v>
      </c>
      <c r="F51" s="27" t="n">
        <f aca="false">E51+F50</f>
        <v>-3088283.90936096</v>
      </c>
      <c r="G51" s="27" t="n">
        <f aca="false">F51+G50</f>
        <v>5644755.35751404</v>
      </c>
      <c r="H51" s="27" t="n">
        <f aca="false">G51+H50</f>
        <v>-12726878.1419202</v>
      </c>
      <c r="I51" s="27" t="n">
        <f aca="false">H51+I50</f>
        <v>-30108050.0735969</v>
      </c>
      <c r="J51" s="27" t="n">
        <f aca="false">I51+J50</f>
        <v>-18983611.5597678</v>
      </c>
      <c r="K51" s="27" t="n">
        <f aca="false">J51+K50</f>
        <v>-34875464.2732644</v>
      </c>
      <c r="L51" s="27" t="n">
        <f aca="false">K51+L50</f>
        <v>-49657461.1957994</v>
      </c>
      <c r="M51" s="27" t="n">
        <f aca="false">L51+M50</f>
        <v>-35799429.8010198</v>
      </c>
    </row>
    <row r="52" customFormat="false" ht="15" hidden="false" customHeight="false" outlineLevel="0" collapsed="false">
      <c r="A52" s="7" t="s">
        <v>169</v>
      </c>
      <c r="B52" s="15" t="n">
        <f aca="false">Assumptions!$B$31</f>
        <v>18000000</v>
      </c>
      <c r="C52" s="15" t="n">
        <f aca="false">B52</f>
        <v>18000000</v>
      </c>
      <c r="D52" s="15" t="n">
        <f aca="false">C52</f>
        <v>18000000</v>
      </c>
      <c r="E52" s="15" t="n">
        <f aca="false">D52*(1+Assumptions!$B$32)</f>
        <v>18540000</v>
      </c>
      <c r="F52" s="15" t="n">
        <f aca="false">E52</f>
        <v>18540000</v>
      </c>
      <c r="G52" s="15" t="n">
        <f aca="false">F52</f>
        <v>18540000</v>
      </c>
      <c r="H52" s="15" t="n">
        <f aca="false">G52*(1+Assumptions!$B$32)</f>
        <v>19096200</v>
      </c>
      <c r="I52" s="15" t="n">
        <f aca="false">H52</f>
        <v>19096200</v>
      </c>
      <c r="J52" s="15" t="n">
        <f aca="false">I52</f>
        <v>19096200</v>
      </c>
      <c r="K52" s="15" t="n">
        <f aca="false">J52*(1+Assumptions!$B$32)</f>
        <v>19669086</v>
      </c>
      <c r="L52" s="15" t="n">
        <f aca="false">K52</f>
        <v>19669086</v>
      </c>
      <c r="M52" s="15" t="n">
        <f aca="false">L52</f>
        <v>19669086</v>
      </c>
    </row>
    <row r="55" customFormat="false" ht="18" hidden="false" customHeight="true" outlineLevel="0" collapsed="false">
      <c r="A55" s="18" t="s">
        <v>172</v>
      </c>
      <c r="B55" s="18"/>
      <c r="C55" s="18"/>
      <c r="D55" s="18"/>
      <c r="E55" s="18"/>
      <c r="F55" s="18"/>
      <c r="G55" s="18"/>
      <c r="H55" s="18"/>
      <c r="I55" s="18"/>
      <c r="J55" s="18"/>
      <c r="K55" s="18"/>
      <c r="L55" s="18"/>
      <c r="M55" s="18"/>
      <c r="N55" s="18"/>
    </row>
    <row r="56" customFormat="false" ht="15" hidden="false" customHeight="false" outlineLevel="0" collapsed="false">
      <c r="A56" s="14"/>
      <c r="B56" s="14" t="s">
        <v>31</v>
      </c>
      <c r="C56" s="14" t="s">
        <v>32</v>
      </c>
      <c r="D56" s="14" t="s">
        <v>33</v>
      </c>
    </row>
    <row r="57" customFormat="false" ht="15" hidden="false" customHeight="false" outlineLevel="0" collapsed="false">
      <c r="A57" s="7" t="s">
        <v>34</v>
      </c>
      <c r="B57" s="27" t="n">
        <f aca="false">SUM(B14:M14)</f>
        <v>39237591.3949086</v>
      </c>
      <c r="C57" s="27" t="n">
        <f aca="false">SUM(B31:M31)</f>
        <v>155139284.901531</v>
      </c>
      <c r="D57" s="27" t="n">
        <f aca="false">SUM(B48:M48)</f>
        <v>214707973.212293</v>
      </c>
    </row>
    <row r="58" customFormat="false" ht="15" hidden="false" customHeight="false" outlineLevel="0" collapsed="false">
      <c r="A58" s="7" t="s">
        <v>35</v>
      </c>
      <c r="B58" s="27" t="n">
        <f aca="false">SUM(B15:M15)</f>
        <v>308589877.927519</v>
      </c>
      <c r="C58" s="27" t="n">
        <f aca="false">SUM(B32:M32)</f>
        <v>319303396.88616</v>
      </c>
      <c r="D58" s="27" t="n">
        <f aca="false">SUM(B49:M49)</f>
        <v>325507403.013313</v>
      </c>
    </row>
    <row r="59" customFormat="false" ht="15" hidden="false" customHeight="false" outlineLevel="0" collapsed="false">
      <c r="A59" s="7" t="s">
        <v>36</v>
      </c>
      <c r="B59" s="27" t="n">
        <f aca="false">SUM(B14:M14)-SUM(B15:M15)</f>
        <v>-269352286.53261</v>
      </c>
      <c r="C59" s="27" t="n">
        <f aca="false">SUM(B31:M31)-SUM(B32:M32)</f>
        <v>-164164111.984629</v>
      </c>
      <c r="D59" s="27" t="n">
        <f aca="false">SUM(B48:M48)-SUM(B49:M49)</f>
        <v>-110799429.80102</v>
      </c>
    </row>
    <row r="60" customFormat="false" ht="15" hidden="false" customHeight="false" outlineLevel="0" collapsed="false">
      <c r="A60" s="7" t="s">
        <v>37</v>
      </c>
      <c r="B60" s="27" t="n">
        <f aca="false">M17</f>
        <v>-194352286.53261</v>
      </c>
      <c r="C60" s="27" t="n">
        <f aca="false">M34</f>
        <v>-89164111.9846295</v>
      </c>
      <c r="D60" s="27" t="n">
        <f aca="false">M51</f>
        <v>-35799429.8010198</v>
      </c>
    </row>
    <row r="61" customFormat="false" ht="15" hidden="false" customHeight="false" outlineLevel="0" collapsed="false">
      <c r="A61" s="7" t="s">
        <v>173</v>
      </c>
      <c r="B61" s="27" t="n">
        <f aca="false">MIN(B17:M17)</f>
        <v>-194352286.53261</v>
      </c>
      <c r="C61" s="27" t="n">
        <f aca="false">MIN(B34:M34)</f>
        <v>-91389363.1926625</v>
      </c>
      <c r="D61" s="27" t="n">
        <f aca="false">MIN(B51:M51)</f>
        <v>-49657461.1957994</v>
      </c>
    </row>
    <row r="62" customFormat="false" ht="15" hidden="false" customHeight="false" outlineLevel="0" collapsed="false">
      <c r="A62" s="7" t="s">
        <v>38</v>
      </c>
      <c r="B62" s="35" t="n">
        <f aca="false">IF(AVERAGE(B16:G16)&gt;=0,"Cash-flow positive",Assumptions!$B$7/-(AVERAGE(B16:G16)))</f>
        <v>3.33803274359437</v>
      </c>
      <c r="C62" s="35" t="n">
        <f aca="false">IF(AVERAGE(B33:G33)&gt;=0,"Cash-flow positive",Assumptions!$B$7/-(AVERAGE(B33:G33)))</f>
        <v>5.08671822185745</v>
      </c>
      <c r="D62" s="35" t="n">
        <f aca="false">IF(AVERAGE(B50:G50)&gt;=0,"Cash-flow positive",Assumptions!$B$7/-(AVERAGE(B50:G50)))</f>
        <v>6.48833411690306</v>
      </c>
    </row>
  </sheetData>
  <mergeCells count="6">
    <mergeCell ref="A1:N1"/>
    <mergeCell ref="A2:N2"/>
    <mergeCell ref="A4:N4"/>
    <mergeCell ref="A21:N21"/>
    <mergeCell ref="A38:N38"/>
    <mergeCell ref="A55:N55"/>
  </mergeCells>
  <printOptions headings="false" gridLines="false" gridLinesSet="true" horizontalCentered="false" verticalCentered="false"/>
  <pageMargins left="0.3" right="0.3" top="0.4" bottom="0.4"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2026-08-17T08:49:43Z</dcterms:created>
  <dc:creator>openpyxl</dc:creator>
  <dc:description/>
  <dc:language>en-US</dc:language>
  <cp:lastModifiedBy/>
  <dcterms:modified xsi:type="dcterms:W3CDTF">2026-08-17T08:49:48Z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