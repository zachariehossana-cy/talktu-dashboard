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2.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drawings/_rels/drawing1.xml.rels" ContentType="application/vnd.openxmlformats-package.relationship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Cover &amp; Instructions" sheetId="1" state="visible" r:id="rId2"/>
    <sheet name="Dashboard" sheetId="2" state="visible" r:id="rId3"/>
    <sheet name="Assumptions" sheetId="3" state="visible" r:id="rId4"/>
    <sheet name="Revenue Model" sheetId="4" state="visible" r:id="rId5"/>
    <sheet name="OpEx" sheetId="5" state="visible" r:id="rId6"/>
    <sheet name="Cash Flow" sheetId="6" state="visible" r:id="rId7"/>
    <sheet name="P&amp;L Summary" sheetId="7"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<sst xmlns="http://schemas.openxmlformats.org/spreadsheetml/2006/main" count="175" uniqueCount="116">
  <si>
    <t xml:space="preserve">talktü :  Financial Model (Aug 2026 – Jul 2027) </t>
  </si>
  <si>
    <t xml:space="preserve">Prepared by Zacharie Hossana Dayang — Finance Associate Intern</t>
  </si>
  <si>
    <t xml:space="preserve">PURPOSE</t>
  </si>
  <si>
    <t xml:space="preserve">This 12-month financial model covers talktü’s budget, revenue, and cash flow. Just type the monthly numbers into the Assumptions tab, and all other sheets update automatically. It is built to keep our projections realistic and easy to share with non-finance teams.</t>
  </si>
  <si>
    <t xml:space="preserve">HOW TO USE THIS FILE</t>
  </si>
  <si>
    <t xml:space="preserve">1. Assumptions: Enter talktü's real monthly figures (downloads, subscribers, salaries, etc.). </t>
  </si>
  <si>
    <t xml:space="preserve">2. Revenue Model: Automatically calculates revenue for all streams based on the Assumptions sheet. Do not edit formula cells.</t>
  </si>
  <si>
    <t xml:space="preserve">3. OpEx: Pulls salaries, marketing, and admin costs directly from Assumptions. Only Tech &amp; Hosting uses a formula (fixed cost + per-user cost).</t>
  </si>
  <si>
    <t xml:space="preserve">4. Cash Flow: Tracks monthly cash balances and estimates runway.</t>
  </si>
  <si>
    <t xml:space="preserve">5. P&amp;L Summary: Displays a clean monthly and full-year income statement, ready for presentations.</t>
  </si>
  <si>
    <t xml:space="preserve">6. Dashboard: Features key charts and KPIs for quick stakeholder updates.</t>
  </si>
  <si>
    <t xml:space="preserve">COLOR LEGEND</t>
  </si>
  <si>
    <t xml:space="preserve">Blue text on yellow fill</t>
  </si>
  <si>
    <t xml:space="preserve">Hardcoded input, edit as needed.</t>
  </si>
  <si>
    <t xml:space="preserve">Black text</t>
  </si>
  <si>
    <t xml:space="preserve">Formula </t>
  </si>
  <si>
    <t xml:space="preserve">Green text</t>
  </si>
  <si>
    <t xml:space="preserve">Link pulling a value from another sheet</t>
  </si>
  <si>
    <t xml:space="preserve">Bold on light-blue fill</t>
  </si>
  <si>
    <t xml:space="preserve">Subtotal and  Total row</t>
  </si>
  <si>
    <t xml:space="preserve"> Financial Model Dashboard (FY Aug 2026 – Jul 2027)</t>
  </si>
  <si>
    <t xml:space="preserve">Here are based on the  fictive information... we can replace it by  the real information</t>
  </si>
  <si>
    <t xml:space="preserve">Full-Year Revenue</t>
  </si>
  <si>
    <t xml:space="preserve">Full-Year OpEx</t>
  </si>
  <si>
    <t xml:space="preserve">Full-Year Net Result</t>
  </si>
  <si>
    <t xml:space="preserve">Estimated Runway</t>
  </si>
  <si>
    <t xml:space="preserve">Funding Need (Yr 1)</t>
  </si>
  <si>
    <t xml:space="preserve">Key Drivers &amp; Assumptions and  Monthly </t>
  </si>
  <si>
    <t xml:space="preserve">GENERAL</t>
  </si>
  <si>
    <t xml:space="preserve">Model Start Month</t>
  </si>
  <si>
    <t xml:space="preserve">Aug-2026</t>
  </si>
  <si>
    <t xml:space="preserve">Currency</t>
  </si>
  <si>
    <t xml:space="preserve">NGN (₦)</t>
  </si>
  <si>
    <t xml:space="preserve">Starting Cash Balance (₦)</t>
  </si>
  <si>
    <t xml:space="preserve">Aug-26</t>
  </si>
  <si>
    <t xml:space="preserve">Sep-26</t>
  </si>
  <si>
    <t xml:space="preserve">Oct-26</t>
  </si>
  <si>
    <t xml:space="preserve">Nov-26</t>
  </si>
  <si>
    <t xml:space="preserve">Dec-26</t>
  </si>
  <si>
    <t xml:space="preserve">Jan-27</t>
  </si>
  <si>
    <t xml:space="preserve">Feb-27</t>
  </si>
  <si>
    <t xml:space="preserve">Mar-27</t>
  </si>
  <si>
    <t xml:space="preserve">Apr-27</t>
  </si>
  <si>
    <t xml:space="preserve">May-27</t>
  </si>
  <si>
    <t xml:space="preserve">Jun-27</t>
  </si>
  <si>
    <t xml:space="preserve">Jul-27</t>
  </si>
  <si>
    <t xml:space="preserve">Notes</t>
  </si>
  <si>
    <t xml:space="preserve">PARENT APP :  B2C SUBSCRIPTIONS</t>
  </si>
  <si>
    <t xml:space="preserve">New App Downloads</t>
  </si>
  <si>
    <t xml:space="preserve">New Premium Subscribers</t>
  </si>
  <si>
    <t xml:space="preserve">Churned Premium Subscribers</t>
  </si>
  <si>
    <t xml:space="preserve">Premium Subscription Price (₦/month)</t>
  </si>
  <si>
    <t xml:space="preserve">SCHOOL PLATFORM :  B2B</t>
  </si>
  <si>
    <t xml:space="preserve">New Schools Onboarded</t>
  </si>
  <si>
    <t xml:space="preserve">Churned Schools</t>
  </si>
  <si>
    <t xml:space="preserve">Price per School (₦/month)</t>
  </si>
  <si>
    <t xml:space="preserve">ASSESSMENTS</t>
  </si>
  <si>
    <t xml:space="preserve">Assessments Sold</t>
  </si>
  <si>
    <t xml:space="preserve">Price per Assessment (₦)</t>
  </si>
  <si>
    <t xml:space="preserve">GRANTS &amp; PARTNERSHIPS</t>
  </si>
  <si>
    <t xml:space="preserve">Grant / Partner Inflow (₦)</t>
  </si>
  <si>
    <t xml:space="preserve">OPERATING EXPENSES</t>
  </si>
  <si>
    <t xml:space="preserve">Core Team Salaries (₦)</t>
  </si>
  <si>
    <t xml:space="preserve">Tech &amp; Hosting : Fixed (₦/month)</t>
  </si>
  <si>
    <t xml:space="preserve">Tech &amp; Hosting : Variable Cost per App User (₦)</t>
  </si>
  <si>
    <t xml:space="preserve">Marketing Spend (₦)</t>
  </si>
  <si>
    <t xml:space="preserve">Admin &amp; Legal (₦)</t>
  </si>
  <si>
    <t xml:space="preserve">Contingency (₦)</t>
  </si>
  <si>
    <t xml:space="preserve">Revenue Model  Monthly Build</t>
  </si>
  <si>
    <t xml:space="preserve">All cells below are formulas linked directly to the Assumptions tab . every cells is calculate Automatically</t>
  </si>
  <si>
    <t xml:space="preserve">PARENT APP — B2C SUBSCRIPTIONS</t>
  </si>
  <si>
    <t xml:space="preserve">New Downloads</t>
  </si>
  <si>
    <t xml:space="preserve">Cumulative App Users (all-time downloads)</t>
  </si>
  <si>
    <t xml:space="preserve">Active Premium Subscribers</t>
  </si>
  <si>
    <t xml:space="preserve">Premium Revenue (₦)</t>
  </si>
  <si>
    <t xml:space="preserve">SCHOOL PLATFORM — B2B</t>
  </si>
  <si>
    <t xml:space="preserve">Active Schools</t>
  </si>
  <si>
    <t xml:space="preserve">School Platform Revenue (₦)</t>
  </si>
  <si>
    <t xml:space="preserve">Assessment Revenue (₦)</t>
  </si>
  <si>
    <t xml:space="preserve">Grant / Partnership Revenue (₦)</t>
  </si>
  <si>
    <t xml:space="preserve">TOTAL REVENUE (₦)</t>
  </si>
  <si>
    <t xml:space="preserve">Operating Expenses  monthly Build</t>
  </si>
  <si>
    <t xml:space="preserve">here are the charges</t>
  </si>
  <si>
    <t xml:space="preserve">Tech &amp; Hosting (₦)</t>
  </si>
  <si>
    <t xml:space="preserve">Marketing (₦)</t>
  </si>
  <si>
    <t xml:space="preserve">Subtotal Before Contingency (₦)</t>
  </si>
  <si>
    <t xml:space="preserve">TOTAL OPERATING EXPENSES (₦)</t>
  </si>
  <si>
    <t xml:space="preserve">Cash Flow :  Monthly Build</t>
  </si>
  <si>
    <t xml:space="preserve">Tracks beginning/ending cash and estimates runway at the current burn rate.</t>
  </si>
  <si>
    <t xml:space="preserve">Beginning Cash ($)</t>
  </si>
  <si>
    <t xml:space="preserve">Cash In :  Total Revenue ($)</t>
  </si>
  <si>
    <t xml:space="preserve">Cash Out: Total OpEx ($)</t>
  </si>
  <si>
    <t xml:space="preserve">Net Cash Flow ($)</t>
  </si>
  <si>
    <t xml:space="preserve">ENDING CASH BALANCE ($)</t>
  </si>
  <si>
    <t xml:space="preserve">RUNWAY &amp; FUNDING NEED (based on the first 6 months' average burn)</t>
  </si>
  <si>
    <t xml:space="preserve">Average Monthly Net Cash Flow — First 6 Months ($)</t>
  </si>
  <si>
    <t xml:space="preserve">Estimated Runway from Day 1 (Starting Cash / Avg Burn)</t>
  </si>
  <si>
    <t xml:space="preserve">Minimum Cash Point in Year 1 ($)</t>
  </si>
  <si>
    <t xml:space="preserve">Additional Funding Needed to Stay Cash-Positive All Year ($)</t>
  </si>
  <si>
    <t xml:space="preserve">Profit &amp; Loss Summary</t>
  </si>
  <si>
    <t xml:space="preserve">Presentation-ready income statement ,  every figure links back to Revenue Model / OpEx.</t>
  </si>
  <si>
    <t xml:space="preserve">FY Total</t>
  </si>
  <si>
    <t xml:space="preserve">REVENUE</t>
  </si>
  <si>
    <t xml:space="preserve">Parent App :  Premium Subscriptions</t>
  </si>
  <si>
    <t xml:space="preserve">School Platform</t>
  </si>
  <si>
    <t xml:space="preserve">Assessments</t>
  </si>
  <si>
    <t xml:space="preserve">Grants &amp; Partnerships</t>
  </si>
  <si>
    <t xml:space="preserve">TOTAL REVENUE</t>
  </si>
  <si>
    <t xml:space="preserve">Core Team Salaries</t>
  </si>
  <si>
    <t xml:space="preserve">Tech &amp; Hosting</t>
  </si>
  <si>
    <t xml:space="preserve">Marketing</t>
  </si>
  <si>
    <t xml:space="preserve">Admin &amp; Legal</t>
  </si>
  <si>
    <t xml:space="preserve">Contingency</t>
  </si>
  <si>
    <t xml:space="preserve">TOTAL OPERATING EXPENSES</t>
  </si>
  <si>
    <t xml:space="preserve">NET OPERATING RESULT ($)</t>
  </si>
  <si>
    <t xml:space="preserve">Net Margin (%)</t>
  </si>
</sst>
</file>

<file path=xl/styles.xml><?xml version="1.0" encoding="utf-8"?>
<styleSheet xmlns="http://schemas.openxmlformats.org/spreadsheetml/2006/main">
  <numFmts count="7">
    <numFmt numFmtId="164" formatCode="General"/>
    <numFmt numFmtId="165" formatCode="\₦#,##0;&quot;(₦&quot;#,##0\);\-"/>
    <numFmt numFmtId="166" formatCode="0.0&quot; mo&quot;"/>
    <numFmt numFmtId="167" formatCode="#,##0;\(#,##0\);\-"/>
    <numFmt numFmtId="168" formatCode="\₦#,##0.00;&quot;(₦&quot;#,##0.00\);\-"/>
    <numFmt numFmtId="169" formatCode="0.0&quot; months&quot;"/>
    <numFmt numFmtId="170" formatCode="0.0%;\(0.0%\);\-"/>
  </numFmts>
  <fonts count="19">
    <font>
      <sz val="11"/>
      <color rgb="FF000000"/>
      <name val="Calibri"/>
      <family val="2"/>
      <charset val="1"/>
    </font>
    <font>
      <sz val="10"/>
      <name val="Arial"/>
      <family val="0"/>
    </font>
    <font>
      <sz val="10"/>
      <name val="Arial"/>
      <family val="0"/>
    </font>
    <font>
      <sz val="10"/>
      <name val="Arial"/>
      <family val="0"/>
    </font>
    <font>
      <b val="true"/>
      <sz val="16"/>
      <color rgb="FFFFFFFF"/>
      <name val="Arial"/>
      <family val="0"/>
      <charset val="1"/>
    </font>
    <font>
      <i val="true"/>
      <sz val="10"/>
      <color rgb="FF7F7F7F"/>
      <name val="Arial"/>
      <family val="0"/>
      <charset val="1"/>
    </font>
    <font>
      <b val="true"/>
      <sz val="11"/>
      <color rgb="FFFFFFFF"/>
      <name val="Arial"/>
      <family val="0"/>
      <charset val="1"/>
    </font>
    <font>
      <sz val="10"/>
      <color rgb="FF000000"/>
      <name val="Arial"/>
      <family val="0"/>
      <charset val="1"/>
    </font>
    <font>
      <sz val="10"/>
      <color rgb="FF0000FF"/>
      <name val="Arial"/>
      <family val="0"/>
      <charset val="1"/>
    </font>
    <font>
      <sz val="10"/>
      <color rgb="FF008000"/>
      <name val="Arial"/>
      <family val="0"/>
      <charset val="1"/>
    </font>
    <font>
      <b val="true"/>
      <sz val="10"/>
      <color rgb="FF000000"/>
      <name val="Arial"/>
      <family val="0"/>
      <charset val="1"/>
    </font>
    <font>
      <i val="true"/>
      <sz val="10"/>
      <color rgb="FFC00000"/>
      <name val="Arial"/>
      <family val="0"/>
      <charset val="1"/>
    </font>
    <font>
      <b val="true"/>
      <sz val="9"/>
      <color rgb="FFFFFFFF"/>
      <name val="Arial"/>
      <family val="0"/>
      <charset val="1"/>
    </font>
    <font>
      <b val="true"/>
      <sz val="13"/>
      <color rgb="FF1F3864"/>
      <name val="Arial"/>
      <family val="0"/>
      <charset val="1"/>
    </font>
    <font>
      <b val="true"/>
      <sz val="10"/>
      <color rgb="FFFFFFFF"/>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9"/>
      <color rgb="FF7F7F7F"/>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0E7C7B"/>
        <bgColor rgb="FF008080"/>
      </patternFill>
    </fill>
    <fill>
      <patternFill patternType="solid">
        <fgColor rgb="FFFFFF00"/>
        <bgColor rgb="FFFFFF00"/>
      </patternFill>
    </fill>
    <fill>
      <patternFill patternType="solid">
        <fgColor rgb="FFDCE6F1"/>
        <bgColor rgb="FFD9D9D9"/>
      </patternFill>
    </fill>
    <fill>
      <patternFill patternType="solid">
        <fgColor rgb="FFFFFFFF"/>
        <bgColor rgb="FFFFFF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left" vertical="center" textRotation="0" wrapText="false" indent="1" shrinkToFit="false"/>
      <protection locked="true" hidden="false"/>
    </xf>
    <xf numFmtId="164" fontId="5" fillId="0" borderId="0" xfId="0" applyFont="true" applyBorder="true" applyAlignment="true" applyProtection="true">
      <alignment horizontal="left" vertical="bottom" textRotation="0" wrapText="false" indent="1" shrinkToFit="false"/>
      <protection locked="true" hidden="false"/>
    </xf>
    <xf numFmtId="164" fontId="6" fillId="3"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top" textRotation="0" wrapText="true" indent="0" shrinkToFit="false"/>
      <protection locked="true" hidden="false"/>
    </xf>
    <xf numFmtId="164" fontId="8" fillId="4" borderId="1"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4" fontId="7" fillId="0" borderId="1" xfId="0" applyFont="true" applyBorder="true" applyAlignment="true" applyProtection="true">
      <alignment horizontal="general" vertical="bottom" textRotation="0" wrapText="false" indent="0" shrinkToFit="false"/>
      <protection locked="true" hidden="false"/>
    </xf>
    <xf numFmtId="164" fontId="9" fillId="0" borderId="1" xfId="0" applyFont="true" applyBorder="true" applyAlignment="true" applyProtection="true">
      <alignment horizontal="general" vertical="bottom" textRotation="0" wrapText="false" indent="0" shrinkToFit="false"/>
      <protection locked="true" hidden="false"/>
    </xf>
    <xf numFmtId="164" fontId="10" fillId="5" borderId="1" xfId="0" applyFont="true" applyBorder="true" applyAlignment="true" applyProtection="true">
      <alignment horizontal="general" vertical="bottom" textRotation="0" wrapText="false" indent="0" shrinkToFit="false"/>
      <protection locked="true" hidden="false"/>
    </xf>
    <xf numFmtId="164" fontId="6" fillId="6" borderId="0" xfId="0" applyFont="true" applyBorder="true" applyAlignment="true" applyProtection="true">
      <alignment horizontal="general" vertical="bottom" textRotation="0" wrapText="false" indent="0" shrinkToFit="false"/>
      <protection locked="true" hidden="false"/>
    </xf>
    <xf numFmtId="164" fontId="11" fillId="0" borderId="0" xfId="0" applyFont="true" applyBorder="true" applyAlignment="true" applyProtection="true">
      <alignment horizontal="general" vertical="top" textRotation="0" wrapText="true" indent="0" shrinkToFit="false"/>
      <protection locked="true" hidden="false"/>
    </xf>
    <xf numFmtId="164" fontId="12" fillId="3" borderId="0" xfId="0" applyFont="true" applyBorder="true" applyAlignment="true" applyProtection="true">
      <alignment horizontal="center" vertical="bottom" textRotation="0" wrapText="false" indent="0" shrinkToFit="false"/>
      <protection locked="true" hidden="false"/>
    </xf>
    <xf numFmtId="165" fontId="13" fillId="5" borderId="0" xfId="0" applyFont="true" applyBorder="true" applyAlignment="true" applyProtection="true">
      <alignment horizontal="center" vertical="bottom" textRotation="0" wrapText="false" indent="0" shrinkToFit="false"/>
      <protection locked="true" hidden="false"/>
    </xf>
    <xf numFmtId="166" fontId="13" fillId="5" borderId="0" xfId="0" applyFont="true" applyBorder="true" applyAlignment="true" applyProtection="true">
      <alignment horizontal="center" vertical="bottom" textRotation="0" wrapText="false" indent="0" shrinkToFit="false"/>
      <protection locked="true" hidden="false"/>
    </xf>
    <xf numFmtId="164" fontId="6" fillId="3" borderId="0" xfId="0" applyFont="true" applyBorder="false" applyAlignment="true" applyProtection="true">
      <alignment horizontal="general" vertical="bottom" textRotation="0" wrapText="false" indent="0" shrinkToFit="false"/>
      <protection locked="true" hidden="false"/>
    </xf>
    <xf numFmtId="164" fontId="14" fillId="2" borderId="1" xfId="0" applyFont="true" applyBorder="true" applyAlignment="true" applyProtection="true">
      <alignment horizontal="center" vertical="bottom" textRotation="0" wrapText="false" indent="0" shrinkToFit="false"/>
      <protection locked="true" hidden="false"/>
    </xf>
    <xf numFmtId="165" fontId="7" fillId="0" borderId="1" xfId="0" applyFont="true" applyBorder="true" applyAlignment="true" applyProtection="true">
      <alignment horizontal="right" vertical="bottom" textRotation="0" wrapText="false" indent="0" shrinkToFit="false"/>
      <protection locked="true" hidden="false"/>
    </xf>
    <xf numFmtId="166" fontId="7" fillId="0" borderId="1" xfId="0" applyFont="true" applyBorder="true" applyAlignment="true" applyProtection="true">
      <alignment horizontal="right" vertical="bottom" textRotation="0" wrapText="false" indent="0" shrinkToFit="false"/>
      <protection locked="true" hidden="false"/>
    </xf>
    <xf numFmtId="164" fontId="4" fillId="2"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4" borderId="0" xfId="0" applyFont="true" applyBorder="false" applyAlignment="true" applyProtection="true">
      <alignment horizontal="general" vertical="bottom" textRotation="0" wrapText="false" indent="0" shrinkToFit="false"/>
      <protection locked="true" hidden="false"/>
    </xf>
    <xf numFmtId="165" fontId="8" fillId="4" borderId="0" xfId="0" applyFont="true" applyBorder="false" applyAlignment="true" applyProtection="true">
      <alignment horizontal="general" vertical="bottom" textRotation="0" wrapText="false" indent="0" shrinkToFit="false"/>
      <protection locked="true" hidden="false"/>
    </xf>
    <xf numFmtId="164" fontId="18" fillId="0" borderId="0" xfId="0" applyFont="true" applyBorder="false" applyAlignment="true" applyProtection="true">
      <alignment horizontal="general" vertical="bottom" textRotation="0" wrapText="false" indent="0" shrinkToFit="false"/>
      <protection locked="true" hidden="false"/>
    </xf>
    <xf numFmtId="164" fontId="14" fillId="2" borderId="0" xfId="0" applyFont="true" applyBorder="false" applyAlignment="true" applyProtection="true">
      <alignment horizontal="general" vertical="bottom" textRotation="0" wrapText="false" indent="0" shrinkToFit="false"/>
      <protection locked="true" hidden="false"/>
    </xf>
    <xf numFmtId="167" fontId="8" fillId="4" borderId="0" xfId="0" applyFont="true" applyBorder="false" applyAlignment="true" applyProtection="true">
      <alignment horizontal="general" vertical="bottom" textRotation="0" wrapText="false" indent="0" shrinkToFit="false"/>
      <protection locked="true" hidden="false"/>
    </xf>
    <xf numFmtId="168" fontId="8" fillId="4" borderId="0" xfId="0" applyFont="true" applyBorder="false" applyAlignment="true" applyProtection="true">
      <alignment horizontal="general" vertical="bottom" textRotation="0" wrapText="false" indent="0" shrinkToFit="false"/>
      <protection locked="true" hidden="false"/>
    </xf>
    <xf numFmtId="167" fontId="9" fillId="0" borderId="0" xfId="0" applyFont="true" applyBorder="false" applyAlignment="true" applyProtection="true">
      <alignment horizontal="general" vertical="bottom" textRotation="0" wrapText="false" indent="0" shrinkToFit="false"/>
      <protection locked="true" hidden="false"/>
    </xf>
    <xf numFmtId="167" fontId="7" fillId="0" borderId="0" xfId="0" applyFont="true" applyBorder="false" applyAlignment="true" applyProtection="true">
      <alignment horizontal="general" vertical="bottom" textRotation="0" wrapText="false" indent="0" shrinkToFit="false"/>
      <protection locked="true" hidden="false"/>
    </xf>
    <xf numFmtId="165" fontId="7" fillId="0" borderId="0" xfId="0" applyFont="true" applyBorder="false" applyAlignment="true" applyProtection="true">
      <alignment horizontal="general" vertical="bottom" textRotation="0" wrapText="false" indent="0" shrinkToFit="false"/>
      <protection locked="true" hidden="false"/>
    </xf>
    <xf numFmtId="165" fontId="9" fillId="0" borderId="0" xfId="0" applyFont="true" applyBorder="false" applyAlignment="true" applyProtection="true">
      <alignment horizontal="general" vertical="bottom" textRotation="0" wrapText="false" indent="0" shrinkToFit="false"/>
      <protection locked="true" hidden="false"/>
    </xf>
    <xf numFmtId="164" fontId="10" fillId="5" borderId="0" xfId="0" applyFont="true" applyBorder="false" applyAlignment="true" applyProtection="true">
      <alignment horizontal="general" vertical="bottom" textRotation="0" wrapText="false" indent="0" shrinkToFit="false"/>
      <protection locked="true" hidden="false"/>
    </xf>
    <xf numFmtId="165" fontId="10" fillId="5" borderId="0" xfId="0" applyFont="true" applyBorder="false" applyAlignment="true" applyProtection="true">
      <alignment horizontal="general" vertical="bottom" textRotation="0" wrapText="false" indent="0" shrinkToFit="false"/>
      <protection locked="true" hidden="false"/>
    </xf>
    <xf numFmtId="164" fontId="0" fillId="2" borderId="0" xfId="0" applyFont="false" applyBorder="false" applyAlignment="true" applyProtection="true">
      <alignment horizontal="general" vertical="bottom" textRotation="0" wrapText="false" indent="0" shrinkToFit="false"/>
      <protection locked="true" hidden="false"/>
    </xf>
    <xf numFmtId="165" fontId="9" fillId="0" borderId="1" xfId="0" applyFont="true" applyBorder="true" applyAlignment="true" applyProtection="true">
      <alignment horizontal="right" vertical="bottom" textRotation="0" wrapText="false" indent="0" shrinkToFit="false"/>
      <protection locked="true" hidden="false"/>
    </xf>
    <xf numFmtId="164" fontId="10" fillId="0" borderId="1" xfId="0" applyFont="true" applyBorder="true" applyAlignment="true" applyProtection="true">
      <alignment horizontal="general" vertical="bottom" textRotation="0" wrapText="false" indent="0" shrinkToFit="false"/>
      <protection locked="true" hidden="false"/>
    </xf>
    <xf numFmtId="165" fontId="10" fillId="0" borderId="1" xfId="0" applyFont="true" applyBorder="true" applyAlignment="true" applyProtection="true">
      <alignment horizontal="right" vertical="bottom" textRotation="0" wrapText="false" indent="0" shrinkToFit="false"/>
      <protection locked="true" hidden="false"/>
    </xf>
    <xf numFmtId="165" fontId="10" fillId="5" borderId="1" xfId="0" applyFont="true" applyBorder="true" applyAlignment="true" applyProtection="true">
      <alignment horizontal="right" vertical="bottom" textRotation="0" wrapText="false" indent="0" shrinkToFit="false"/>
      <protection locked="true" hidden="false"/>
    </xf>
    <xf numFmtId="169" fontId="10" fillId="5" borderId="1" xfId="0" applyFont="true" applyBorder="true" applyAlignment="true" applyProtection="true">
      <alignment horizontal="center" vertical="bottom" textRotation="0" wrapText="false" indent="0" shrinkToFit="false"/>
      <protection locked="true" hidden="false"/>
    </xf>
    <xf numFmtId="165" fontId="10" fillId="5" borderId="1" xfId="0" applyFont="true" applyBorder="true" applyAlignment="true" applyProtection="true">
      <alignment horizontal="center" vertical="bottom" textRotation="0" wrapText="false" indent="0" shrinkToFit="false"/>
      <protection locked="true" hidden="false"/>
    </xf>
    <xf numFmtId="164" fontId="6" fillId="3" borderId="0" xfId="0" applyFont="true" applyBorder="true" applyAlignment="true" applyProtection="true">
      <alignment horizontal="left" vertical="center" textRotation="0" wrapText="false" indent="1" shrinkToFit="false"/>
      <protection locked="true" hidden="false"/>
    </xf>
    <xf numFmtId="170" fontId="7" fillId="0" borderId="1" xfId="0" applyFont="true" applyBorder="true" applyAlignment="true" applyProtection="tru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E7C7B"/>
      <rgbColor rgb="FFBFBFBF"/>
      <rgbColor rgb="FF7F7F7F"/>
      <rgbColor rgb="FF9999FF"/>
      <rgbColor rgb="FFBE4B48"/>
      <rgbColor rgb="FFFFFFCC"/>
      <rgbColor rgb="FFDCE6F1"/>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4A7EBB"/>
      <rgbColor rgb="FF4BACC6"/>
      <rgbColor rgb="FF9BBB59"/>
      <rgbColor rgb="FFFFCC00"/>
      <rgbColor rgb="FFFF9900"/>
      <rgbColor rgb="FFFF6600"/>
      <rgbColor rgb="FF8064A2"/>
      <rgbColor rgb="FF878787"/>
      <rgbColor rgb="FF1F3864"/>
      <rgbColor rgb="FF4F81BD"/>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vs. OpEx by Month (₦)</a:t>
            </a:r>
          </a:p>
        </c:rich>
      </c:tx>
      <c:overlay val="0"/>
      <c:spPr>
        <a:noFill/>
        <a:ln w="0">
          <a:noFill/>
        </a:ln>
      </c:spPr>
    </c:title>
    <c:autoTitleDeleted val="0"/>
    <c:plotArea>
      <c:lineChart>
        <c:grouping val="standard"/>
        <c:varyColors val="0"/>
        <c:ser>
          <c:idx val="0"/>
          <c:order val="0"/>
          <c:tx>
            <c:strRef>
              <c:f>'P&amp;L Summary'!A10</c:f>
              <c:strCache>
                <c:ptCount val="1"/>
                <c:pt idx="0">
                  <c:v>TOTAL REVENUE</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'P&amp;L Summary'!$B$3:$M$3</c:f>
              <c:strCache>
                <c:ptCount val="12"/>
                <c:pt idx="0">
                  <c:v>Aug-26</c:v>
                </c:pt>
                <c:pt idx="1">
                  <c:v>Sep-26</c:v>
                </c:pt>
                <c:pt idx="2">
                  <c:v>Oct-26</c:v>
                </c:pt>
                <c:pt idx="3">
                  <c:v>Nov-26</c:v>
                </c:pt>
                <c:pt idx="4">
                  <c:v>Dec-26</c:v>
                </c:pt>
                <c:pt idx="5">
                  <c:v>Jan-27</c:v>
                </c:pt>
                <c:pt idx="6">
                  <c:v>Feb-27</c:v>
                </c:pt>
                <c:pt idx="7">
                  <c:v>Mar-27</c:v>
                </c:pt>
                <c:pt idx="8">
                  <c:v>Apr-27</c:v>
                </c:pt>
                <c:pt idx="9">
                  <c:v>May-27</c:v>
                </c:pt>
                <c:pt idx="10">
                  <c:v>Jun-27</c:v>
                </c:pt>
                <c:pt idx="11">
                  <c:v>Jul-27</c:v>
                </c:pt>
              </c:strCache>
            </c:strRef>
          </c:cat>
          <c:val>
            <c:numRef>
              <c:f>'P&amp;L Summary'!$B$10:$M$10</c:f>
              <c:numCache>
                <c:formatCode>General</c:formatCode>
                <c:ptCount val="12"/>
                <c:pt idx="0">
                  <c:v>1605000</c:v>
                </c:pt>
                <c:pt idx="1">
                  <c:v>0</c:v>
                </c:pt>
                <c:pt idx="2">
                  <c:v>0</c:v>
                </c:pt>
                <c:pt idx="3">
                  <c:v>0</c:v>
                </c:pt>
                <c:pt idx="4">
                  <c:v>0</c:v>
                </c:pt>
                <c:pt idx="5">
                  <c:v>0</c:v>
                </c:pt>
                <c:pt idx="6">
                  <c:v>0</c:v>
                </c:pt>
                <c:pt idx="7">
                  <c:v>0</c:v>
                </c:pt>
                <c:pt idx="8">
                  <c:v>0</c:v>
                </c:pt>
                <c:pt idx="9">
                  <c:v>0</c:v>
                </c:pt>
                <c:pt idx="10">
                  <c:v>0</c:v>
                </c:pt>
                <c:pt idx="11">
                  <c:v>0</c:v>
                </c:pt>
              </c:numCache>
            </c:numRef>
          </c:val>
          <c:smooth val="1"/>
        </c:ser>
        <c:ser>
          <c:idx val="1"/>
          <c:order val="1"/>
          <c:tx>
            <c:strRef>
              <c:f>'P&amp;L Summary'!A18</c:f>
              <c:strCache>
                <c:ptCount val="1"/>
                <c:pt idx="0">
                  <c:v>TOTAL OPERATING EXPENSES</c:v>
                </c:pt>
              </c:strCache>
            </c:strRef>
          </c:tx>
          <c:spPr>
            <a:solidFill>
              <a:srgbClr val="be4b48"/>
            </a:solidFill>
            <a:ln w="28440">
              <a:solidFill>
                <a:srgbClr val="be4b48"/>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'P&amp;L Summary'!$B$3:$M$3</c:f>
              <c:strCache>
                <c:ptCount val="12"/>
                <c:pt idx="0">
                  <c:v>Aug-26</c:v>
                </c:pt>
                <c:pt idx="1">
                  <c:v>Sep-26</c:v>
                </c:pt>
                <c:pt idx="2">
                  <c:v>Oct-26</c:v>
                </c:pt>
                <c:pt idx="3">
                  <c:v>Nov-26</c:v>
                </c:pt>
                <c:pt idx="4">
                  <c:v>Dec-26</c:v>
                </c:pt>
                <c:pt idx="5">
                  <c:v>Jan-27</c:v>
                </c:pt>
                <c:pt idx="6">
                  <c:v>Feb-27</c:v>
                </c:pt>
                <c:pt idx="7">
                  <c:v>Mar-27</c:v>
                </c:pt>
                <c:pt idx="8">
                  <c:v>Apr-27</c:v>
                </c:pt>
                <c:pt idx="9">
                  <c:v>May-27</c:v>
                </c:pt>
                <c:pt idx="10">
                  <c:v>Jun-27</c:v>
                </c:pt>
                <c:pt idx="11">
                  <c:v>Jul-27</c:v>
                </c:pt>
              </c:strCache>
            </c:strRef>
          </c:cat>
          <c:val>
            <c:numRef>
              <c:f>'P&amp;L Summary'!$B$18:$M$18</c:f>
              <c:numCache>
                <c:formatCode>General</c:formatCode>
                <c:ptCount val="12"/>
                <c:pt idx="0">
                  <c:v>24295320</c:v>
                </c:pt>
                <c:pt idx="1">
                  <c:v>0</c:v>
                </c:pt>
                <c:pt idx="2">
                  <c:v>0</c:v>
                </c:pt>
                <c:pt idx="3">
                  <c:v>0</c:v>
                </c:pt>
                <c:pt idx="4">
                  <c:v>0</c:v>
                </c:pt>
                <c:pt idx="5">
                  <c:v>0</c:v>
                </c:pt>
                <c:pt idx="6">
                  <c:v>0</c:v>
                </c:pt>
                <c:pt idx="7">
                  <c:v>0</c:v>
                </c:pt>
                <c:pt idx="8">
                  <c:v>0</c:v>
                </c:pt>
                <c:pt idx="9">
                  <c:v>0</c:v>
                </c:pt>
                <c:pt idx="10">
                  <c:v>0</c:v>
                </c:pt>
                <c:pt idx="11">
                  <c:v>0</c:v>
                </c:pt>
              </c:numCache>
            </c:numRef>
          </c:val>
          <c:smooth val="1"/>
        </c:ser>
        <c:hiLowLines>
          <c:spPr>
            <a:ln w="0">
              <a:noFill/>
            </a:ln>
          </c:spPr>
        </c:hiLowLines>
        <c:marker val="0"/>
        <c:axId val="67298598"/>
        <c:axId val="7246379"/>
      </c:lineChart>
      <c:catAx>
        <c:axId val="67298598"/>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246379"/>
        <c:crosses val="autoZero"/>
        <c:auto val="1"/>
        <c:lblAlgn val="ctr"/>
        <c:lblOffset val="100"/>
        <c:noMultiLvlLbl val="0"/>
      </c:catAx>
      <c:valAx>
        <c:axId val="7246379"/>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(NGN)</a:t>
                </a:r>
              </a:p>
            </c:rich>
          </c:tx>
          <c:overlay val="0"/>
          <c:spPr>
            <a:noFill/>
            <a:ln w="0">
              <a:noFill/>
            </a:ln>
          </c:spPr>
        </c:title>
        <c:numFmt formatCode="\₦#,##0;&quot;(₦&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29859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Mix by Month (₦)</a:t>
            </a:r>
          </a:p>
        </c:rich>
      </c:tx>
      <c:overlay val="0"/>
      <c:spPr>
        <a:noFill/>
        <a:ln w="0">
          <a:noFill/>
        </a:ln>
      </c:spPr>
    </c:title>
    <c:autoTitleDeleted val="0"/>
    <c:plotArea>
      <c:barChart>
        <c:barDir val="col"/>
        <c:grouping val="stacked"/>
        <c:varyColors val="0"/>
        <c:ser>
          <c:idx val="0"/>
          <c:order val="0"/>
          <c:tx>
            <c:strRef>
              <c:f>'P&amp;L Summary'!A6</c:f>
              <c:strCache>
                <c:ptCount val="1"/>
                <c:pt idx="0">
                  <c:v>Parent App :  Premium Subscriptions</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'P&amp;L Summary'!$B$3:$M$3</c:f>
              <c:strCache>
                <c:ptCount val="12"/>
                <c:pt idx="0">
                  <c:v>Aug-26</c:v>
                </c:pt>
                <c:pt idx="1">
                  <c:v>Sep-26</c:v>
                </c:pt>
                <c:pt idx="2">
                  <c:v>Oct-26</c:v>
                </c:pt>
                <c:pt idx="3">
                  <c:v>Nov-26</c:v>
                </c:pt>
                <c:pt idx="4">
                  <c:v>Dec-26</c:v>
                </c:pt>
                <c:pt idx="5">
                  <c:v>Jan-27</c:v>
                </c:pt>
                <c:pt idx="6">
                  <c:v>Feb-27</c:v>
                </c:pt>
                <c:pt idx="7">
                  <c:v>Mar-27</c:v>
                </c:pt>
                <c:pt idx="8">
                  <c:v>Apr-27</c:v>
                </c:pt>
                <c:pt idx="9">
                  <c:v>May-27</c:v>
                </c:pt>
                <c:pt idx="10">
                  <c:v>Jun-27</c:v>
                </c:pt>
                <c:pt idx="11">
                  <c:v>Jul-27</c:v>
                </c:pt>
              </c:strCache>
            </c:strRef>
          </c:cat>
          <c:val>
            <c:numRef>
              <c:f>'P&amp;L Summary'!$B$6:$M$6</c:f>
              <c:numCache>
                <c:formatCode>General</c:formatCode>
                <c:ptCount val="12"/>
                <c:pt idx="0">
                  <c:v>180000</c:v>
                </c:pt>
                <c:pt idx="1">
                  <c:v>0</c:v>
                </c:pt>
                <c:pt idx="2">
                  <c:v>0</c:v>
                </c:pt>
                <c:pt idx="3">
                  <c:v>0</c:v>
                </c:pt>
                <c:pt idx="4">
                  <c:v>0</c:v>
                </c:pt>
                <c:pt idx="5">
                  <c:v>0</c:v>
                </c:pt>
                <c:pt idx="6">
                  <c:v>0</c:v>
                </c:pt>
                <c:pt idx="7">
                  <c:v>0</c:v>
                </c:pt>
                <c:pt idx="8">
                  <c:v>0</c:v>
                </c:pt>
                <c:pt idx="9">
                  <c:v>0</c:v>
                </c:pt>
                <c:pt idx="10">
                  <c:v>0</c:v>
                </c:pt>
                <c:pt idx="11">
                  <c:v>0</c:v>
                </c:pt>
              </c:numCache>
            </c:numRef>
          </c:val>
        </c:ser>
        <c:ser>
          <c:idx val="1"/>
          <c:order val="1"/>
          <c:tx>
            <c:strRef>
              <c:f>'P&amp;L Summary'!A7</c:f>
              <c:strCache>
                <c:ptCount val="1"/>
                <c:pt idx="0">
                  <c:v>School Platform</c:v>
                </c:pt>
              </c:strCache>
            </c:strRef>
          </c:tx>
          <c:spPr>
            <a:solidFill>
              <a:srgbClr val="c0504d"/>
            </a:solidFill>
            <a:ln w="0">
              <a:noFill/>
            </a:ln>
          </c:spPr>
          <c:invertIfNegative val="0"/>
          <c:dLbls>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'P&amp;L Summary'!$B$3:$M$3</c:f>
              <c:strCache>
                <c:ptCount val="12"/>
                <c:pt idx="0">
                  <c:v>Aug-26</c:v>
                </c:pt>
                <c:pt idx="1">
                  <c:v>Sep-26</c:v>
                </c:pt>
                <c:pt idx="2">
                  <c:v>Oct-26</c:v>
                </c:pt>
                <c:pt idx="3">
                  <c:v>Nov-26</c:v>
                </c:pt>
                <c:pt idx="4">
                  <c:v>Dec-26</c:v>
                </c:pt>
                <c:pt idx="5">
                  <c:v>Jan-27</c:v>
                </c:pt>
                <c:pt idx="6">
                  <c:v>Feb-27</c:v>
                </c:pt>
                <c:pt idx="7">
                  <c:v>Mar-27</c:v>
                </c:pt>
                <c:pt idx="8">
                  <c:v>Apr-27</c:v>
                </c:pt>
                <c:pt idx="9">
                  <c:v>May-27</c:v>
                </c:pt>
                <c:pt idx="10">
                  <c:v>Jun-27</c:v>
                </c:pt>
                <c:pt idx="11">
                  <c:v>Jul-27</c:v>
                </c:pt>
              </c:strCache>
            </c:strRef>
          </c:cat>
          <c:val>
            <c:numRef>
              <c:f>'P&amp;L Summary'!$B$7:$M$7</c:f>
              <c:numCache>
                <c:formatCode>General</c:formatCode>
                <c:ptCount val="12"/>
                <c:pt idx="0">
                  <c:v>675000</c:v>
                </c:pt>
                <c:pt idx="1">
                  <c:v>0</c:v>
                </c:pt>
                <c:pt idx="2">
                  <c:v>0</c:v>
                </c:pt>
                <c:pt idx="3">
                  <c:v>0</c:v>
                </c:pt>
                <c:pt idx="4">
                  <c:v>0</c:v>
                </c:pt>
                <c:pt idx="5">
                  <c:v>0</c:v>
                </c:pt>
                <c:pt idx="6">
                  <c:v>0</c:v>
                </c:pt>
                <c:pt idx="7">
                  <c:v>0</c:v>
                </c:pt>
                <c:pt idx="8">
                  <c:v>0</c:v>
                </c:pt>
                <c:pt idx="9">
                  <c:v>0</c:v>
                </c:pt>
                <c:pt idx="10">
                  <c:v>0</c:v>
                </c:pt>
                <c:pt idx="11">
                  <c:v>0</c:v>
                </c:pt>
              </c:numCache>
            </c:numRef>
          </c:val>
        </c:ser>
        <c:ser>
          <c:idx val="2"/>
          <c:order val="2"/>
          <c:tx>
            <c:strRef>
              <c:f>'P&amp;L Summary'!A8</c:f>
              <c:strCache>
                <c:ptCount val="1"/>
                <c:pt idx="0">
                  <c:v>Assessments</c:v>
                </c:pt>
              </c:strCache>
            </c:strRef>
          </c:tx>
          <c:spPr>
            <a:solidFill>
              <a:srgbClr val="9bbb59"/>
            </a:solidFill>
            <a:ln w="0">
              <a:noFill/>
            </a:ln>
          </c:spPr>
          <c:invertIfNegative val="0"/>
          <c:dLbls>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'P&amp;L Summary'!$B$3:$M$3</c:f>
              <c:strCache>
                <c:ptCount val="12"/>
                <c:pt idx="0">
                  <c:v>Aug-26</c:v>
                </c:pt>
                <c:pt idx="1">
                  <c:v>Sep-26</c:v>
                </c:pt>
                <c:pt idx="2">
                  <c:v>Oct-26</c:v>
                </c:pt>
                <c:pt idx="3">
                  <c:v>Nov-26</c:v>
                </c:pt>
                <c:pt idx="4">
                  <c:v>Dec-26</c:v>
                </c:pt>
                <c:pt idx="5">
                  <c:v>Jan-27</c:v>
                </c:pt>
                <c:pt idx="6">
                  <c:v>Feb-27</c:v>
                </c:pt>
                <c:pt idx="7">
                  <c:v>Mar-27</c:v>
                </c:pt>
                <c:pt idx="8">
                  <c:v>Apr-27</c:v>
                </c:pt>
                <c:pt idx="9">
                  <c:v>May-27</c:v>
                </c:pt>
                <c:pt idx="10">
                  <c:v>Jun-27</c:v>
                </c:pt>
                <c:pt idx="11">
                  <c:v>Jul-27</c:v>
                </c:pt>
              </c:strCache>
            </c:strRef>
          </c:cat>
          <c:val>
            <c:numRef>
              <c:f>'P&amp;L Summary'!$B$8:$M$8</c:f>
              <c:numCache>
                <c:formatCode>General</c:formatCode>
                <c:ptCount val="12"/>
                <c:pt idx="0">
                  <c:v>750000</c:v>
                </c:pt>
                <c:pt idx="1">
                  <c:v>0</c:v>
                </c:pt>
                <c:pt idx="2">
                  <c:v>0</c:v>
                </c:pt>
                <c:pt idx="3">
                  <c:v>0</c:v>
                </c:pt>
                <c:pt idx="4">
                  <c:v>0</c:v>
                </c:pt>
                <c:pt idx="5">
                  <c:v>0</c:v>
                </c:pt>
                <c:pt idx="6">
                  <c:v>0</c:v>
                </c:pt>
                <c:pt idx="7">
                  <c:v>0</c:v>
                </c:pt>
                <c:pt idx="8">
                  <c:v>0</c:v>
                </c:pt>
                <c:pt idx="9">
                  <c:v>0</c:v>
                </c:pt>
                <c:pt idx="10">
                  <c:v>0</c:v>
                </c:pt>
                <c:pt idx="11">
                  <c:v>0</c:v>
                </c:pt>
              </c:numCache>
            </c:numRef>
          </c:val>
        </c:ser>
        <c:ser>
          <c:idx val="3"/>
          <c:order val="3"/>
          <c:tx>
            <c:strRef>
              <c:f>'P&amp;L Summary'!A9</c:f>
              <c:strCache>
                <c:ptCount val="1"/>
                <c:pt idx="0">
                  <c:v>Grants &amp; Partnerships</c:v>
                </c:pt>
              </c:strCache>
            </c:strRef>
          </c:tx>
          <c:spPr>
            <a:solidFill>
              <a:srgbClr val="8064a2"/>
            </a:solidFill>
            <a:ln w="0">
              <a:noFill/>
            </a:ln>
          </c:spPr>
          <c:invertIfNegative val="0"/>
          <c:dLbls>
            <c:txPr>
              <a:bodyPr wrap="square"/>
              <a:lstStyle/>
              <a:p>
                <a:pPr>
                  <a:defRPr b="0" sz="1000" spc="-1" strike="noStrike">
                    <a:solidFill>
                      <a:srgbClr val="000000"/>
                    </a:solidFill>
                    <a:latin typeface="Arial"/>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'P&amp;L Summary'!$B$3:$M$3</c:f>
              <c:strCache>
                <c:ptCount val="12"/>
                <c:pt idx="0">
                  <c:v>Aug-26</c:v>
                </c:pt>
                <c:pt idx="1">
                  <c:v>Sep-26</c:v>
                </c:pt>
                <c:pt idx="2">
                  <c:v>Oct-26</c:v>
                </c:pt>
                <c:pt idx="3">
                  <c:v>Nov-26</c:v>
                </c:pt>
                <c:pt idx="4">
                  <c:v>Dec-26</c:v>
                </c:pt>
                <c:pt idx="5">
                  <c:v>Jan-27</c:v>
                </c:pt>
                <c:pt idx="6">
                  <c:v>Feb-27</c:v>
                </c:pt>
                <c:pt idx="7">
                  <c:v>Mar-27</c:v>
                </c:pt>
                <c:pt idx="8">
                  <c:v>Apr-27</c:v>
                </c:pt>
                <c:pt idx="9">
                  <c:v>May-27</c:v>
                </c:pt>
                <c:pt idx="10">
                  <c:v>Jun-27</c:v>
                </c:pt>
                <c:pt idx="11">
                  <c:v>Jul-27</c:v>
                </c:pt>
              </c:strCache>
            </c:strRef>
          </c:cat>
          <c:val>
            <c:numRef>
              <c:f>'P&amp;L Summary'!$B$9:$M$9</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er>
        <c:gapWidth val="150"/>
        <c:overlap val="100"/>
        <c:axId val="21984053"/>
        <c:axId val="18233257"/>
      </c:barChart>
      <c:catAx>
        <c:axId val="21984053"/>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8233257"/>
        <c:crosses val="autoZero"/>
        <c:auto val="1"/>
        <c:lblAlgn val="ctr"/>
        <c:lblOffset val="100"/>
        <c:noMultiLvlLbl val="0"/>
      </c:catAx>
      <c:valAx>
        <c:axId val="18233257"/>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(NGN)</a:t>
                </a:r>
              </a:p>
            </c:rich>
          </c:tx>
          <c:overlay val="0"/>
          <c:spPr>
            <a:noFill/>
            <a:ln w="0">
              <a:noFill/>
            </a:ln>
          </c:spPr>
        </c:title>
        <c:numFmt formatCode="\₦#,##0;&quot;(₦&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1984053"/>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Full-Year OpEx Breakdown</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Pt>
            <c:idx val="4"/>
            <c:spPr>
              <a:solidFill>
                <a:srgbClr val="4bacc6"/>
              </a:solidFill>
              <a:ln w="0">
                <a:noFill/>
              </a:ln>
            </c:spPr>
          </c:dPt>
          <c:dLbls>
            <c:dLbl>
              <c:idx val="0"/>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dLbl>
            <c:dLbl>
              <c:idx val="4"/>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0"/>
            <c:showVal val="0"/>
            <c:showCatName val="0"/>
            <c:showSerName val="0"/>
            <c:showPercent val="1"/>
            <c:separator>
</c:separator>
            <c:showLeaderLines val="1"/>
          </c:dLbls>
          <c:cat>
            <c:strRef>
              <c:f>'P&amp;L Summary'!$A$13:$A$17</c:f>
              <c:strCache>
                <c:ptCount val="5"/>
                <c:pt idx="0">
                  <c:v>Core Team Salaries</c:v>
                </c:pt>
                <c:pt idx="1">
                  <c:v>Tech &amp; Hosting</c:v>
                </c:pt>
                <c:pt idx="2">
                  <c:v>Marketing</c:v>
                </c:pt>
                <c:pt idx="3">
                  <c:v>Admin &amp; Legal</c:v>
                </c:pt>
                <c:pt idx="4">
                  <c:v>Contingency</c:v>
                </c:pt>
              </c:strCache>
            </c:strRef>
          </c:cat>
          <c:val>
            <c:numRef>
              <c:f>'P&amp;L Summary'!$N$13:$N$17</c:f>
              <c:numCache>
                <c:formatCode>General</c:formatCode>
                <c:ptCount val="5"/>
                <c:pt idx="0">
                  <c:v>18000000</c:v>
                </c:pt>
                <c:pt idx="1">
                  <c:v>2310000</c:v>
                </c:pt>
                <c:pt idx="2">
                  <c:v>1628400</c:v>
                </c:pt>
                <c:pt idx="3">
                  <c:v>1200000</c:v>
                </c:pt>
                <c:pt idx="4">
                  <c:v>1156920</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Ending Cash Balance by Month (₦) — Base Case</a:t>
            </a:r>
          </a:p>
        </c:rich>
      </c:tx>
      <c:overlay val="0"/>
      <c:spPr>
        <a:noFill/>
        <a:ln w="0">
          <a:noFill/>
        </a:ln>
      </c:spPr>
    </c:title>
    <c:autoTitleDeleted val="0"/>
    <c:plotArea>
      <c:lineChart>
        <c:grouping val="standard"/>
        <c:varyColors val="0"/>
        <c:ser>
          <c:idx val="0"/>
          <c:order val="0"/>
          <c:tx>
            <c:strRef>
              <c:f>'Cash Flow'!A10</c:f>
              <c:strCache>
                <c:ptCount val="1"/>
                <c:pt idx="0">
                  <c:v>ENDING CASH BALANCE ($)</c:v>
                </c:pt>
              </c:strCache>
            </c:strRef>
          </c:tx>
          <c:spPr>
            <a:solidFill>
              <a:srgbClr val="4a7ebb"/>
            </a:solidFill>
            <a:ln w="28440">
              <a:solidFill>
                <a:srgbClr val="4a7ebb"/>
              </a:solidFill>
              <a:round/>
            </a:ln>
          </c:spPr>
          <c:marker>
            <c:symbol val="none"/>
          </c:marker>
          <c:dLbls>
            <c:txPr>
              <a:bodyPr wrap="square"/>
              <a:lstStyle/>
              <a:p>
                <a:pPr>
                  <a:defRPr b="0" sz="1000" spc="-1" strike="noStrike">
                    <a:solidFill>
                      <a:srgbClr val="000000"/>
                    </a:solidFill>
                    <a:latin typeface="Arial"/>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'Cash Flow'!$B$3:$M$3</c:f>
              <c:strCache>
                <c:ptCount val="12"/>
                <c:pt idx="0">
                  <c:v>Aug-26</c:v>
                </c:pt>
                <c:pt idx="1">
                  <c:v>Sep-26</c:v>
                </c:pt>
                <c:pt idx="2">
                  <c:v>Oct-26</c:v>
                </c:pt>
                <c:pt idx="3">
                  <c:v>Nov-26</c:v>
                </c:pt>
                <c:pt idx="4">
                  <c:v>Dec-26</c:v>
                </c:pt>
                <c:pt idx="5">
                  <c:v>Jan-27</c:v>
                </c:pt>
                <c:pt idx="6">
                  <c:v>Feb-27</c:v>
                </c:pt>
                <c:pt idx="7">
                  <c:v>Mar-27</c:v>
                </c:pt>
                <c:pt idx="8">
                  <c:v>Apr-27</c:v>
                </c:pt>
                <c:pt idx="9">
                  <c:v>May-27</c:v>
                </c:pt>
                <c:pt idx="10">
                  <c:v>Jun-27</c:v>
                </c:pt>
                <c:pt idx="11">
                  <c:v>Jul-27</c:v>
                </c:pt>
              </c:strCache>
            </c:strRef>
          </c:cat>
          <c:val>
            <c:numRef>
              <c:f>'Cash Flow'!$B$10:$M$10</c:f>
              <c:numCache>
                <c:formatCode>General</c:formatCode>
                <c:ptCount val="12"/>
                <c:pt idx="0">
                  <c:v>52309680</c:v>
                </c:pt>
                <c:pt idx="1">
                  <c:v>52309680</c:v>
                </c:pt>
                <c:pt idx="2">
                  <c:v>52309680</c:v>
                </c:pt>
                <c:pt idx="3">
                  <c:v>52309680</c:v>
                </c:pt>
                <c:pt idx="4">
                  <c:v>52309680</c:v>
                </c:pt>
                <c:pt idx="5">
                  <c:v>52309680</c:v>
                </c:pt>
                <c:pt idx="6">
                  <c:v>52309680</c:v>
                </c:pt>
                <c:pt idx="7">
                  <c:v>52309680</c:v>
                </c:pt>
                <c:pt idx="8">
                  <c:v>52309680</c:v>
                </c:pt>
                <c:pt idx="9">
                  <c:v>52309680</c:v>
                </c:pt>
                <c:pt idx="10">
                  <c:v>52309680</c:v>
                </c:pt>
                <c:pt idx="11">
                  <c:v>52309680</c:v>
                </c:pt>
              </c:numCache>
            </c:numRef>
          </c:val>
          <c:smooth val="1"/>
        </c:ser>
        <c:hiLowLines>
          <c:spPr>
            <a:ln w="0">
              <a:noFill/>
            </a:ln>
          </c:spPr>
        </c:hiLowLines>
        <c:marker val="0"/>
        <c:axId val="14871082"/>
        <c:axId val="49848820"/>
      </c:lineChart>
      <c:catAx>
        <c:axId val="1487108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Month</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848820"/>
        <c:crosses val="autoZero"/>
        <c:auto val="1"/>
        <c:lblAlgn val="ctr"/>
        <c:lblOffset val="100"/>
        <c:noMultiLvlLbl val="0"/>
      </c:catAx>
      <c:valAx>
        <c:axId val="49848820"/>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 (NGN)</a:t>
                </a:r>
              </a:p>
            </c:rich>
          </c:tx>
          <c:overlay val="0"/>
          <c:spPr>
            <a:noFill/>
            <a:ln w="0">
              <a:noFill/>
            </a:ln>
          </c:spPr>
        </c:title>
        <c:numFmt formatCode="\₦#,##0;&quot;(₦&quot;#,##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487108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8</xdr:row>
      <xdr:rowOff>0</xdr:rowOff>
    </xdr:from>
    <xdr:to>
      <xdr:col>7</xdr:col>
      <xdr:colOff>338760</xdr:colOff>
      <xdr:row>24</xdr:row>
      <xdr:rowOff>10440</xdr:rowOff>
    </xdr:to>
    <xdr:graphicFrame>
      <xdr:nvGraphicFramePr>
        <xdr:cNvPr id="0" name="Chart 1"/>
        <xdr:cNvGraphicFramePr/>
      </xdr:nvGraphicFramePr>
      <xdr:xfrm>
        <a:off x="0" y="1743120"/>
        <a:ext cx="6118560" cy="305856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0</xdr:colOff>
      <xdr:row>8</xdr:row>
      <xdr:rowOff>0</xdr:rowOff>
    </xdr:from>
    <xdr:to>
      <xdr:col>13</xdr:col>
      <xdr:colOff>620640</xdr:colOff>
      <xdr:row>24</xdr:row>
      <xdr:rowOff>10440</xdr:rowOff>
    </xdr:to>
    <xdr:graphicFrame>
      <xdr:nvGraphicFramePr>
        <xdr:cNvPr id="1" name="Chart 2"/>
        <xdr:cNvGraphicFramePr/>
      </xdr:nvGraphicFramePr>
      <xdr:xfrm>
        <a:off x="5779800" y="1743120"/>
        <a:ext cx="6118560" cy="305856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26</xdr:row>
      <xdr:rowOff>0</xdr:rowOff>
    </xdr:from>
    <xdr:to>
      <xdr:col>4</xdr:col>
      <xdr:colOff>567720</xdr:colOff>
      <xdr:row>42</xdr:row>
      <xdr:rowOff>10440</xdr:rowOff>
    </xdr:to>
    <xdr:graphicFrame>
      <xdr:nvGraphicFramePr>
        <xdr:cNvPr id="2" name="Chart 3"/>
        <xdr:cNvGraphicFramePr/>
      </xdr:nvGraphicFramePr>
      <xdr:xfrm>
        <a:off x="0" y="5172120"/>
        <a:ext cx="3598560" cy="30585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26</xdr:row>
      <xdr:rowOff>0</xdr:rowOff>
    </xdr:from>
    <xdr:to>
      <xdr:col>11</xdr:col>
      <xdr:colOff>620640</xdr:colOff>
      <xdr:row>42</xdr:row>
      <xdr:rowOff>10440</xdr:rowOff>
    </xdr:to>
    <xdr:graphicFrame>
      <xdr:nvGraphicFramePr>
        <xdr:cNvPr id="3" name="Chart 4"/>
        <xdr:cNvGraphicFramePr/>
      </xdr:nvGraphicFramePr>
      <xdr:xfrm>
        <a:off x="3947040" y="5172120"/>
        <a:ext cx="6118560" cy="305856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selection pane="topLeft" activeCell="B14" activeCellId="0" sqref="B14"/>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100"/>
  </cols>
  <sheetData>
    <row r="1" customFormat="false" ht="25.5" hidden="false" customHeight="true" outlineLevel="0" collapsed="false">
      <c r="A1" s="2" t="s">
        <v>0</v>
      </c>
      <c r="B1" s="2"/>
      <c r="C1" s="2"/>
      <c r="D1" s="2"/>
      <c r="E1" s="2"/>
      <c r="F1" s="2"/>
      <c r="G1" s="2"/>
      <c r="H1" s="2"/>
    </row>
    <row r="2" customFormat="false" ht="15" hidden="false" customHeight="true" outlineLevel="0" collapsed="false">
      <c r="A2" s="3" t="s">
        <v>1</v>
      </c>
      <c r="B2" s="3"/>
      <c r="C2" s="3"/>
      <c r="D2" s="3"/>
      <c r="E2" s="3"/>
      <c r="F2" s="3"/>
      <c r="G2" s="3"/>
      <c r="H2" s="3"/>
    </row>
    <row r="4" customFormat="false" ht="15" hidden="false" customHeight="true" outlineLevel="0" collapsed="false">
      <c r="B4" s="4" t="s">
        <v>2</v>
      </c>
      <c r="C4" s="4"/>
      <c r="D4" s="4"/>
      <c r="E4" s="4"/>
      <c r="F4" s="4"/>
      <c r="G4" s="4"/>
      <c r="H4" s="4"/>
    </row>
    <row r="5" customFormat="false" ht="15" hidden="false" customHeight="true" outlineLevel="0" collapsed="false">
      <c r="B5" s="5" t="s">
        <v>3</v>
      </c>
      <c r="C5" s="5"/>
      <c r="D5" s="5"/>
      <c r="E5" s="5"/>
      <c r="F5" s="5"/>
      <c r="G5" s="5"/>
      <c r="H5" s="5"/>
    </row>
    <row r="6" customFormat="false" ht="15" hidden="false" customHeight="true" outlineLevel="0" collapsed="false">
      <c r="B6" s="5"/>
      <c r="C6" s="5"/>
      <c r="D6" s="5"/>
      <c r="E6" s="5"/>
      <c r="F6" s="5"/>
      <c r="G6" s="5"/>
      <c r="H6" s="5"/>
    </row>
    <row r="7" customFormat="false" ht="15" hidden="false" customHeight="true" outlineLevel="0" collapsed="false">
      <c r="B7" s="5"/>
      <c r="C7" s="5"/>
      <c r="D7" s="5"/>
      <c r="E7" s="5"/>
      <c r="F7" s="5"/>
      <c r="G7" s="5"/>
      <c r="H7" s="5"/>
    </row>
    <row r="8" customFormat="false" ht="15" hidden="false" customHeight="true" outlineLevel="0" collapsed="false">
      <c r="B8" s="4" t="s">
        <v>4</v>
      </c>
      <c r="C8" s="4"/>
      <c r="D8" s="4"/>
      <c r="E8" s="4"/>
      <c r="F8" s="4"/>
      <c r="G8" s="4"/>
      <c r="H8" s="4"/>
    </row>
    <row r="9" customFormat="false" ht="27.75" hidden="false" customHeight="true" outlineLevel="0" collapsed="false">
      <c r="B9" s="5" t="s">
        <v>5</v>
      </c>
      <c r="C9" s="5"/>
      <c r="D9" s="5"/>
      <c r="E9" s="5"/>
      <c r="F9" s="5"/>
      <c r="G9" s="5"/>
      <c r="H9" s="5"/>
    </row>
    <row r="10" customFormat="false" ht="27.75" hidden="false" customHeight="true" outlineLevel="0" collapsed="false">
      <c r="B10" s="5" t="s">
        <v>6</v>
      </c>
      <c r="C10" s="5"/>
      <c r="D10" s="5"/>
      <c r="E10" s="5"/>
      <c r="F10" s="5"/>
      <c r="G10" s="5"/>
      <c r="H10" s="5"/>
    </row>
    <row r="11" customFormat="false" ht="27.75" hidden="false" customHeight="true" outlineLevel="0" collapsed="false">
      <c r="B11" s="5" t="s">
        <v>7</v>
      </c>
      <c r="C11" s="5"/>
      <c r="D11" s="5"/>
      <c r="E11" s="5"/>
      <c r="F11" s="5"/>
      <c r="G11" s="5"/>
      <c r="H11" s="5"/>
    </row>
    <row r="12" customFormat="false" ht="27.75" hidden="false" customHeight="true" outlineLevel="0" collapsed="false">
      <c r="B12" s="5" t="s">
        <v>8</v>
      </c>
      <c r="C12" s="5"/>
      <c r="D12" s="5"/>
      <c r="E12" s="5"/>
      <c r="F12" s="5"/>
      <c r="G12" s="5"/>
      <c r="H12" s="5"/>
    </row>
    <row r="13" customFormat="false" ht="27.75" hidden="false" customHeight="true" outlineLevel="0" collapsed="false">
      <c r="B13" s="5" t="s">
        <v>9</v>
      </c>
      <c r="C13" s="5"/>
      <c r="D13" s="5"/>
      <c r="E13" s="5"/>
      <c r="F13" s="5"/>
      <c r="G13" s="5"/>
      <c r="H13" s="5"/>
    </row>
    <row r="14" customFormat="false" ht="27.75" hidden="false" customHeight="true" outlineLevel="0" collapsed="false">
      <c r="B14" s="5" t="s">
        <v>10</v>
      </c>
      <c r="C14" s="5"/>
      <c r="D14" s="5"/>
      <c r="E14" s="5"/>
      <c r="F14" s="5"/>
      <c r="G14" s="5"/>
      <c r="H14" s="5"/>
    </row>
    <row r="15" customFormat="false" ht="27.75" hidden="false" customHeight="true" outlineLevel="0" collapsed="false">
      <c r="B15" s="5"/>
      <c r="C15" s="5"/>
      <c r="D15" s="5"/>
      <c r="E15" s="5"/>
      <c r="F15" s="5"/>
      <c r="G15" s="5"/>
      <c r="H15" s="5"/>
    </row>
    <row r="17" customFormat="false" ht="15" hidden="false" customHeight="true" outlineLevel="0" collapsed="false">
      <c r="B17" s="4" t="s">
        <v>11</v>
      </c>
      <c r="C17" s="4"/>
      <c r="D17" s="4"/>
      <c r="E17" s="4"/>
      <c r="F17" s="4"/>
      <c r="G17" s="4"/>
      <c r="H17" s="4"/>
    </row>
    <row r="18" customFormat="false" ht="15" hidden="false" customHeight="true" outlineLevel="0" collapsed="false">
      <c r="B18" s="6" t="s">
        <v>12</v>
      </c>
      <c r="C18" s="7" t="s">
        <v>13</v>
      </c>
      <c r="D18" s="7"/>
      <c r="E18" s="7"/>
      <c r="F18" s="7"/>
      <c r="G18" s="7"/>
      <c r="H18" s="7"/>
    </row>
    <row r="19" customFormat="false" ht="15" hidden="false" customHeight="true" outlineLevel="0" collapsed="false">
      <c r="B19" s="8" t="s">
        <v>14</v>
      </c>
      <c r="C19" s="7" t="s">
        <v>15</v>
      </c>
      <c r="D19" s="7"/>
      <c r="E19" s="7"/>
      <c r="F19" s="7"/>
      <c r="G19" s="7"/>
      <c r="H19" s="7"/>
    </row>
    <row r="20" customFormat="false" ht="15" hidden="false" customHeight="true" outlineLevel="0" collapsed="false">
      <c r="B20" s="9" t="s">
        <v>16</v>
      </c>
      <c r="C20" s="7" t="s">
        <v>17</v>
      </c>
      <c r="D20" s="7"/>
      <c r="E20" s="7"/>
      <c r="F20" s="7"/>
      <c r="G20" s="7"/>
      <c r="H20" s="7"/>
    </row>
    <row r="21" customFormat="false" ht="15" hidden="false" customHeight="true" outlineLevel="0" collapsed="false">
      <c r="B21" s="10" t="s">
        <v>18</v>
      </c>
      <c r="C21" s="7" t="s">
        <v>19</v>
      </c>
      <c r="D21" s="7"/>
      <c r="E21" s="7"/>
      <c r="F21" s="7"/>
      <c r="G21" s="7"/>
      <c r="H21" s="7"/>
    </row>
    <row r="23" customFormat="false" ht="15" hidden="false" customHeight="true" outlineLevel="0" collapsed="false">
      <c r="B23" s="11"/>
      <c r="C23" s="11"/>
      <c r="D23" s="11"/>
      <c r="E23" s="11"/>
      <c r="F23" s="11"/>
      <c r="G23" s="11"/>
      <c r="H23" s="11"/>
    </row>
    <row r="24" customFormat="false" ht="15" hidden="false" customHeight="true" outlineLevel="0" collapsed="false">
      <c r="B24" s="12"/>
      <c r="C24" s="12"/>
      <c r="D24" s="12"/>
      <c r="E24" s="12"/>
      <c r="F24" s="12"/>
      <c r="G24" s="12"/>
      <c r="H24" s="12"/>
    </row>
    <row r="25" customFormat="false" ht="15" hidden="false" customHeight="true" outlineLevel="0" collapsed="false">
      <c r="B25" s="12"/>
      <c r="C25" s="12"/>
      <c r="D25" s="12"/>
      <c r="E25" s="12"/>
      <c r="F25" s="12"/>
      <c r="G25" s="12"/>
      <c r="H25" s="12"/>
    </row>
    <row r="26" customFormat="false" ht="15" hidden="false" customHeight="true" outlineLevel="0" collapsed="false">
      <c r="B26" s="12"/>
      <c r="C26" s="12"/>
      <c r="D26" s="12"/>
      <c r="E26" s="12"/>
      <c r="F26" s="12"/>
      <c r="G26" s="12"/>
      <c r="H26" s="12"/>
    </row>
    <row r="1048575" customFormat="false" ht="12.8" hidden="false" customHeight="false" outlineLevel="0" collapsed="false"/>
    <row r="1048576" customFormat="false" ht="12.8" hidden="false" customHeight="false" outlineLevel="0" collapsed="false"/>
  </sheetData>
  <mergeCells count="19">
    <mergeCell ref="A1:H1"/>
    <mergeCell ref="A2:H2"/>
    <mergeCell ref="B4:H4"/>
    <mergeCell ref="B5:H7"/>
    <mergeCell ref="B8:H8"/>
    <mergeCell ref="B9:H9"/>
    <mergeCell ref="B10:H10"/>
    <mergeCell ref="B11:H11"/>
    <mergeCell ref="B12:H12"/>
    <mergeCell ref="B13:H13"/>
    <mergeCell ref="B14:H14"/>
    <mergeCell ref="B15:H15"/>
    <mergeCell ref="B17:H17"/>
    <mergeCell ref="C18:H18"/>
    <mergeCell ref="C19:H19"/>
    <mergeCell ref="C20:H20"/>
    <mergeCell ref="C21:H21"/>
    <mergeCell ref="B23:H23"/>
    <mergeCell ref="B24:H26"/>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7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5" activeCellId="0" sqref="C5"/>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14" min="2" style="1" width="13"/>
  </cols>
  <sheetData>
    <row r="1" customFormat="false" ht="25.5" hidden="false" customHeight="true" outlineLevel="0" collapsed="false">
      <c r="A1" s="2" t="s">
        <v>20</v>
      </c>
      <c r="B1" s="2"/>
      <c r="C1" s="2"/>
      <c r="D1" s="2"/>
      <c r="E1" s="2"/>
      <c r="F1" s="2"/>
      <c r="G1" s="2"/>
      <c r="H1" s="2"/>
      <c r="I1" s="2"/>
      <c r="J1" s="2"/>
      <c r="K1" s="2"/>
      <c r="L1" s="2"/>
      <c r="M1" s="2"/>
      <c r="N1" s="2"/>
    </row>
    <row r="2" customFormat="false" ht="15" hidden="false" customHeight="true" outlineLevel="0" collapsed="false">
      <c r="A2" s="3" t="s">
        <v>21</v>
      </c>
      <c r="B2" s="3"/>
      <c r="C2" s="3"/>
      <c r="D2" s="3"/>
      <c r="E2" s="3"/>
      <c r="F2" s="3"/>
      <c r="G2" s="3"/>
      <c r="H2" s="3"/>
      <c r="I2" s="3"/>
      <c r="J2" s="3"/>
      <c r="K2" s="3"/>
      <c r="L2" s="3"/>
      <c r="M2" s="3"/>
      <c r="N2" s="3"/>
    </row>
    <row r="5" customFormat="false" ht="15" hidden="false" customHeight="true" outlineLevel="0" collapsed="false">
      <c r="A5" s="13" t="s">
        <v>22</v>
      </c>
      <c r="B5" s="13"/>
      <c r="D5" s="13" t="s">
        <v>23</v>
      </c>
      <c r="E5" s="13"/>
      <c r="G5" s="13" t="s">
        <v>24</v>
      </c>
      <c r="H5" s="13"/>
      <c r="J5" s="13" t="s">
        <v>25</v>
      </c>
      <c r="K5" s="13"/>
      <c r="M5" s="13" t="s">
        <v>26</v>
      </c>
      <c r="N5" s="13"/>
    </row>
    <row r="6" customFormat="false" ht="21.75" hidden="false" customHeight="true" outlineLevel="0" collapsed="false">
      <c r="A6" s="14" t="n">
        <f aca="false">'P&amp;L Summary'!N10</f>
        <v>1605000</v>
      </c>
      <c r="B6" s="14"/>
      <c r="D6" s="14" t="n">
        <f aca="false">'P&amp;L Summary'!N18</f>
        <v>24295320</v>
      </c>
      <c r="E6" s="14"/>
      <c r="G6" s="14" t="n">
        <f aca="false">'P&amp;L Summary'!N20</f>
        <v>-22690320</v>
      </c>
      <c r="H6" s="14"/>
      <c r="J6" s="15" t="n">
        <f aca="false">'Cash Flow'!B14</f>
        <v>19.8322456448389</v>
      </c>
      <c r="K6" s="15"/>
      <c r="M6" s="14" t="n">
        <f aca="false">'Cash Flow'!B16</f>
        <v>0</v>
      </c>
      <c r="N6" s="14"/>
    </row>
    <row r="64" customFormat="false" ht="15" hidden="false" customHeight="true" outlineLevel="0" collapsed="false">
      <c r="A64" s="16"/>
    </row>
    <row r="65" customFormat="false" ht="15" hidden="false" customHeight="true" outlineLevel="0" collapsed="false">
      <c r="A65" s="17"/>
      <c r="B65" s="17"/>
      <c r="C65" s="17"/>
      <c r="D65" s="17"/>
    </row>
    <row r="66" customFormat="false" ht="15" hidden="false" customHeight="true" outlineLevel="0" collapsed="false">
      <c r="A66" s="8"/>
      <c r="B66" s="18"/>
      <c r="C66" s="18"/>
      <c r="D66" s="18"/>
    </row>
    <row r="67" customFormat="false" ht="15" hidden="false" customHeight="true" outlineLevel="0" collapsed="false">
      <c r="A67" s="8"/>
      <c r="B67" s="18"/>
      <c r="C67" s="18"/>
      <c r="D67" s="18"/>
    </row>
    <row r="68" customFormat="false" ht="15" hidden="false" customHeight="true" outlineLevel="0" collapsed="false">
      <c r="A68" s="8"/>
      <c r="B68" s="18"/>
      <c r="C68" s="18"/>
      <c r="D68" s="18"/>
    </row>
    <row r="69" customFormat="false" ht="15" hidden="false" customHeight="true" outlineLevel="0" collapsed="false">
      <c r="A69" s="8"/>
      <c r="B69" s="18"/>
      <c r="C69" s="18"/>
      <c r="D69" s="18"/>
    </row>
    <row r="70" customFormat="false" ht="15" hidden="false" customHeight="true" outlineLevel="0" collapsed="false">
      <c r="A70" s="8"/>
      <c r="B70" s="19"/>
      <c r="C70" s="19"/>
      <c r="D70" s="19"/>
    </row>
  </sheetData>
  <mergeCells count="12">
    <mergeCell ref="A1:N1"/>
    <mergeCell ref="A2:N2"/>
    <mergeCell ref="A5:B5"/>
    <mergeCell ref="D5:E5"/>
    <mergeCell ref="G5:H5"/>
    <mergeCell ref="J5:K5"/>
    <mergeCell ref="M5:N5"/>
    <mergeCell ref="A6:B6"/>
    <mergeCell ref="D6:E6"/>
    <mergeCell ref="G6:H6"/>
    <mergeCell ref="J6:K6"/>
    <mergeCell ref="M6:N6"/>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6" activeCellId="0" sqref="A16"/>
    </sheetView>
  </sheetViews>
  <sheetFormatPr defaultColWidth="8.6796875" defaultRowHeight="15" zeroHeight="false" outlineLevelRow="0" outlineLevelCol="0"/>
  <cols>
    <col collapsed="false" customWidth="true" hidden="false" outlineLevel="0" max="1" min="1" style="1" width="42"/>
    <col collapsed="false" customWidth="true" hidden="false" outlineLevel="0" max="13" min="2" style="1" width="13"/>
    <col collapsed="false" customWidth="true" hidden="false" outlineLevel="0" max="14" min="14" style="1" width="52"/>
  </cols>
  <sheetData>
    <row r="1" customFormat="false" ht="25.5" hidden="false" customHeight="true" outlineLevel="0" collapsed="false">
      <c r="A1" s="20" t="s">
        <v>27</v>
      </c>
      <c r="B1" s="20"/>
      <c r="C1" s="20"/>
      <c r="D1" s="20"/>
      <c r="E1" s="20"/>
      <c r="F1" s="20"/>
      <c r="G1" s="20"/>
      <c r="H1" s="20"/>
      <c r="I1" s="20"/>
      <c r="J1" s="20"/>
      <c r="K1" s="20"/>
      <c r="L1" s="20"/>
      <c r="M1" s="20"/>
      <c r="N1" s="20"/>
    </row>
    <row r="2" customFormat="false" ht="15" hidden="false" customHeight="true" outlineLevel="0" collapsed="false">
      <c r="A2" s="21"/>
      <c r="B2" s="21"/>
      <c r="C2" s="21"/>
      <c r="D2" s="21"/>
      <c r="E2" s="21"/>
      <c r="F2" s="21"/>
      <c r="G2" s="21"/>
      <c r="H2" s="21"/>
      <c r="I2" s="21"/>
      <c r="J2" s="21"/>
      <c r="K2" s="21"/>
      <c r="L2" s="21"/>
      <c r="M2" s="21"/>
      <c r="N2" s="21"/>
    </row>
    <row r="4" customFormat="false" ht="15" hidden="false" customHeight="false" outlineLevel="0" collapsed="false">
      <c r="A4" s="4" t="s">
        <v>28</v>
      </c>
      <c r="B4" s="4"/>
      <c r="C4" s="4"/>
      <c r="D4" s="4"/>
      <c r="E4" s="4"/>
      <c r="F4" s="4"/>
      <c r="G4" s="4"/>
      <c r="H4" s="4"/>
      <c r="I4" s="4"/>
      <c r="J4" s="4"/>
      <c r="K4" s="4"/>
      <c r="L4" s="4"/>
      <c r="M4" s="4"/>
      <c r="N4" s="4"/>
    </row>
    <row r="5" customFormat="false" ht="15" hidden="false" customHeight="false" outlineLevel="0" collapsed="false">
      <c r="A5" s="22" t="s">
        <v>29</v>
      </c>
      <c r="B5" s="23" t="s">
        <v>30</v>
      </c>
    </row>
    <row r="6" customFormat="false" ht="15" hidden="false" customHeight="false" outlineLevel="0" collapsed="false">
      <c r="A6" s="22" t="s">
        <v>31</v>
      </c>
      <c r="B6" s="23" t="s">
        <v>32</v>
      </c>
    </row>
    <row r="7" customFormat="false" ht="15" hidden="false" customHeight="false" outlineLevel="0" collapsed="false">
      <c r="A7" s="22" t="s">
        <v>33</v>
      </c>
      <c r="B7" s="24" t="n">
        <v>75000000</v>
      </c>
      <c r="N7" s="25"/>
    </row>
    <row r="9" customFormat="false" ht="15" hidden="false" customHeight="false" outlineLevel="0" collapsed="false">
      <c r="B9" s="26" t="s">
        <v>34</v>
      </c>
      <c r="C9" s="26" t="s">
        <v>35</v>
      </c>
      <c r="D9" s="26" t="s">
        <v>36</v>
      </c>
      <c r="E9" s="26" t="s">
        <v>37</v>
      </c>
      <c r="F9" s="26" t="s">
        <v>38</v>
      </c>
      <c r="G9" s="26" t="s">
        <v>39</v>
      </c>
      <c r="H9" s="26" t="s">
        <v>40</v>
      </c>
      <c r="I9" s="26" t="s">
        <v>41</v>
      </c>
      <c r="J9" s="26" t="s">
        <v>42</v>
      </c>
      <c r="K9" s="26" t="s">
        <v>43</v>
      </c>
      <c r="L9" s="26" t="s">
        <v>44</v>
      </c>
      <c r="M9" s="26" t="s">
        <v>45</v>
      </c>
      <c r="N9" s="26" t="s">
        <v>46</v>
      </c>
    </row>
    <row r="10" customFormat="false" ht="15" hidden="false" customHeight="false" outlineLevel="0" collapsed="false">
      <c r="A10" s="4" t="s">
        <v>47</v>
      </c>
      <c r="B10" s="4"/>
      <c r="C10" s="4"/>
      <c r="D10" s="4"/>
      <c r="E10" s="4"/>
      <c r="F10" s="4"/>
      <c r="G10" s="4"/>
      <c r="H10" s="4"/>
      <c r="I10" s="4"/>
      <c r="J10" s="4"/>
      <c r="K10" s="4"/>
      <c r="L10" s="4"/>
      <c r="M10" s="4"/>
      <c r="N10" s="4"/>
    </row>
    <row r="11" customFormat="false" ht="15" hidden="false" customHeight="false" outlineLevel="0" collapsed="false">
      <c r="A11" s="22" t="s">
        <v>48</v>
      </c>
      <c r="B11" s="27" t="n">
        <v>800</v>
      </c>
      <c r="C11" s="27" t="n">
        <v>0</v>
      </c>
      <c r="D11" s="27" t="n">
        <v>0</v>
      </c>
      <c r="E11" s="27" t="n">
        <v>0</v>
      </c>
      <c r="F11" s="27" t="n">
        <v>0</v>
      </c>
      <c r="G11" s="27" t="n">
        <v>0</v>
      </c>
      <c r="H11" s="27" t="n">
        <v>0</v>
      </c>
      <c r="I11" s="27" t="n">
        <v>0</v>
      </c>
      <c r="J11" s="27" t="n">
        <v>0</v>
      </c>
      <c r="K11" s="27" t="n">
        <v>0</v>
      </c>
      <c r="L11" s="27" t="n">
        <v>0</v>
      </c>
      <c r="M11" s="27" t="n">
        <v>0</v>
      </c>
      <c r="N11" s="25"/>
    </row>
    <row r="12" customFormat="false" ht="15" hidden="false" customHeight="false" outlineLevel="0" collapsed="false">
      <c r="A12" s="22" t="s">
        <v>49</v>
      </c>
      <c r="B12" s="27" t="n">
        <v>40</v>
      </c>
      <c r="C12" s="27" t="n">
        <v>0</v>
      </c>
      <c r="D12" s="27" t="n">
        <v>0</v>
      </c>
      <c r="E12" s="27" t="n">
        <v>0</v>
      </c>
      <c r="F12" s="27" t="n">
        <v>0</v>
      </c>
      <c r="G12" s="27" t="n">
        <v>0</v>
      </c>
      <c r="H12" s="27" t="n">
        <v>0</v>
      </c>
      <c r="I12" s="27" t="n">
        <v>0</v>
      </c>
      <c r="J12" s="27" t="n">
        <v>0</v>
      </c>
      <c r="K12" s="27" t="n">
        <v>0</v>
      </c>
      <c r="L12" s="27" t="n">
        <v>0</v>
      </c>
      <c r="M12" s="27" t="n">
        <v>0</v>
      </c>
      <c r="N12" s="25"/>
    </row>
    <row r="13" customFormat="false" ht="15" hidden="false" customHeight="false" outlineLevel="0" collapsed="false">
      <c r="A13" s="22" t="s">
        <v>50</v>
      </c>
      <c r="B13" s="27" t="n">
        <v>0</v>
      </c>
      <c r="C13" s="27" t="n">
        <v>0</v>
      </c>
      <c r="D13" s="27" t="n">
        <v>0</v>
      </c>
      <c r="E13" s="27" t="n">
        <v>0</v>
      </c>
      <c r="F13" s="27" t="n">
        <v>0</v>
      </c>
      <c r="G13" s="27" t="n">
        <v>0</v>
      </c>
      <c r="H13" s="27" t="n">
        <v>0</v>
      </c>
      <c r="I13" s="27" t="n">
        <v>0</v>
      </c>
      <c r="J13" s="27" t="n">
        <v>0</v>
      </c>
      <c r="K13" s="27" t="n">
        <v>0</v>
      </c>
      <c r="L13" s="27" t="n">
        <v>0</v>
      </c>
      <c r="M13" s="27" t="n">
        <v>0</v>
      </c>
      <c r="N13" s="25"/>
    </row>
    <row r="14" customFormat="false" ht="15" hidden="false" customHeight="false" outlineLevel="0" collapsed="false">
      <c r="A14" s="22" t="s">
        <v>51</v>
      </c>
      <c r="B14" s="28" t="n">
        <v>4500</v>
      </c>
      <c r="C14" s="28" t="n">
        <v>0</v>
      </c>
      <c r="D14" s="28" t="n">
        <v>0</v>
      </c>
      <c r="E14" s="28" t="n">
        <v>0</v>
      </c>
      <c r="F14" s="28" t="n">
        <v>0</v>
      </c>
      <c r="G14" s="28" t="n">
        <v>0</v>
      </c>
      <c r="H14" s="28" t="n">
        <v>0</v>
      </c>
      <c r="I14" s="28" t="n">
        <v>0</v>
      </c>
      <c r="J14" s="28" t="n">
        <v>0</v>
      </c>
      <c r="K14" s="28" t="n">
        <v>0</v>
      </c>
      <c r="L14" s="28" t="n">
        <v>0</v>
      </c>
      <c r="M14" s="28" t="n">
        <v>0</v>
      </c>
      <c r="N14" s="25"/>
    </row>
    <row r="16" customFormat="false" ht="15" hidden="false" customHeight="false" outlineLevel="0" collapsed="false">
      <c r="A16" s="4" t="s">
        <v>52</v>
      </c>
      <c r="B16" s="4"/>
      <c r="C16" s="4"/>
      <c r="D16" s="4"/>
      <c r="E16" s="4"/>
      <c r="F16" s="4"/>
      <c r="G16" s="4"/>
      <c r="H16" s="4"/>
      <c r="I16" s="4"/>
      <c r="J16" s="4"/>
      <c r="K16" s="4"/>
      <c r="L16" s="4"/>
      <c r="M16" s="4"/>
      <c r="N16" s="4"/>
    </row>
    <row r="17" customFormat="false" ht="12.8" hidden="false" customHeight="false" outlineLevel="0" collapsed="false">
      <c r="A17" s="22" t="s">
        <v>53</v>
      </c>
      <c r="B17" s="27" t="n">
        <v>3</v>
      </c>
      <c r="C17" s="27" t="n">
        <v>0</v>
      </c>
      <c r="D17" s="27" t="n">
        <v>0</v>
      </c>
      <c r="E17" s="27" t="n">
        <v>0</v>
      </c>
      <c r="F17" s="27" t="n">
        <v>0</v>
      </c>
      <c r="G17" s="27" t="n">
        <v>0</v>
      </c>
      <c r="H17" s="27" t="n">
        <v>0</v>
      </c>
      <c r="I17" s="27" t="n">
        <v>0</v>
      </c>
      <c r="J17" s="27" t="n">
        <v>0</v>
      </c>
      <c r="K17" s="27" t="n">
        <v>0</v>
      </c>
      <c r="L17" s="27" t="n">
        <v>0</v>
      </c>
      <c r="M17" s="27" t="n">
        <v>0</v>
      </c>
      <c r="N17" s="25"/>
    </row>
    <row r="18" customFormat="false" ht="12.8" hidden="false" customHeight="false" outlineLevel="0" collapsed="false">
      <c r="A18" s="22" t="s">
        <v>54</v>
      </c>
      <c r="B18" s="27" t="n">
        <v>0</v>
      </c>
      <c r="C18" s="27" t="n">
        <v>0</v>
      </c>
      <c r="D18" s="27" t="n">
        <v>0</v>
      </c>
      <c r="E18" s="27" t="n">
        <v>0</v>
      </c>
      <c r="F18" s="27" t="n">
        <v>0</v>
      </c>
      <c r="G18" s="27" t="n">
        <v>0</v>
      </c>
      <c r="H18" s="27" t="n">
        <v>0</v>
      </c>
      <c r="I18" s="27" t="n">
        <v>0</v>
      </c>
      <c r="J18" s="27" t="n">
        <v>0</v>
      </c>
      <c r="K18" s="27" t="n">
        <v>0</v>
      </c>
      <c r="L18" s="27" t="n">
        <v>0</v>
      </c>
      <c r="M18" s="27" t="n">
        <v>0</v>
      </c>
      <c r="N18" s="25"/>
    </row>
    <row r="19" customFormat="false" ht="12.8" hidden="false" customHeight="false" outlineLevel="0" collapsed="false">
      <c r="A19" s="22" t="s">
        <v>55</v>
      </c>
      <c r="B19" s="24" t="n">
        <v>225000</v>
      </c>
      <c r="C19" s="24" t="n">
        <v>0</v>
      </c>
      <c r="D19" s="24" t="n">
        <v>0</v>
      </c>
      <c r="E19" s="24" t="n">
        <v>0</v>
      </c>
      <c r="F19" s="24" t="n">
        <v>0</v>
      </c>
      <c r="G19" s="24" t="n">
        <v>0</v>
      </c>
      <c r="H19" s="24" t="n">
        <v>0</v>
      </c>
      <c r="I19" s="24" t="n">
        <v>0</v>
      </c>
      <c r="J19" s="24" t="n">
        <v>0</v>
      </c>
      <c r="K19" s="24" t="n">
        <v>0</v>
      </c>
      <c r="L19" s="24" t="n">
        <v>0</v>
      </c>
      <c r="M19" s="24" t="n">
        <v>0</v>
      </c>
      <c r="N19" s="25"/>
    </row>
    <row r="20" customFormat="false" ht="13.8" hidden="false" customHeight="false" outlineLevel="0" collapsed="false"/>
    <row r="21" customFormat="false" ht="13.8" hidden="false" customHeight="false" outlineLevel="0" collapsed="false">
      <c r="A21" s="4" t="s">
        <v>56</v>
      </c>
      <c r="B21" s="4"/>
      <c r="C21" s="4"/>
      <c r="D21" s="4"/>
      <c r="E21" s="4"/>
      <c r="F21" s="4"/>
      <c r="G21" s="4"/>
      <c r="H21" s="4"/>
      <c r="I21" s="4"/>
      <c r="J21" s="4"/>
      <c r="K21" s="4"/>
      <c r="L21" s="4"/>
      <c r="M21" s="4"/>
      <c r="N21" s="4"/>
    </row>
    <row r="22" customFormat="false" ht="15" hidden="false" customHeight="false" outlineLevel="0" collapsed="false">
      <c r="A22" s="22" t="s">
        <v>57</v>
      </c>
      <c r="B22" s="27" t="n">
        <v>50</v>
      </c>
      <c r="C22" s="27" t="n">
        <v>0</v>
      </c>
      <c r="D22" s="27" t="n">
        <v>0</v>
      </c>
      <c r="E22" s="27" t="n">
        <v>0</v>
      </c>
      <c r="F22" s="27" t="n">
        <v>0</v>
      </c>
      <c r="G22" s="27" t="n">
        <v>0</v>
      </c>
      <c r="H22" s="27" t="n">
        <v>0</v>
      </c>
      <c r="I22" s="27" t="n">
        <v>0</v>
      </c>
      <c r="J22" s="27" t="n">
        <v>0</v>
      </c>
      <c r="K22" s="27" t="n">
        <v>0</v>
      </c>
      <c r="L22" s="27" t="n">
        <v>0</v>
      </c>
      <c r="M22" s="27" t="n">
        <v>0</v>
      </c>
      <c r="N22" s="25"/>
    </row>
    <row r="23" customFormat="false" ht="13.8" hidden="false" customHeight="false" outlineLevel="0" collapsed="false">
      <c r="A23" s="22" t="s">
        <v>58</v>
      </c>
      <c r="B23" s="28" t="n">
        <v>15000</v>
      </c>
      <c r="C23" s="28" t="n">
        <v>0</v>
      </c>
      <c r="D23" s="28" t="n">
        <v>0</v>
      </c>
      <c r="E23" s="28" t="n">
        <v>0</v>
      </c>
      <c r="F23" s="28" t="n">
        <v>0</v>
      </c>
      <c r="G23" s="28" t="n">
        <v>0</v>
      </c>
      <c r="H23" s="28" t="n">
        <v>0</v>
      </c>
      <c r="I23" s="28" t="n">
        <v>0</v>
      </c>
      <c r="J23" s="28" t="n">
        <v>0</v>
      </c>
      <c r="K23" s="28" t="n">
        <v>0</v>
      </c>
      <c r="L23" s="28" t="n">
        <v>0</v>
      </c>
      <c r="M23" s="28" t="n">
        <v>0</v>
      </c>
    </row>
    <row r="24" customFormat="false" ht="13.8" hidden="false" customHeight="false" outlineLevel="0" collapsed="false"/>
    <row r="25" customFormat="false" ht="13.8" hidden="false" customHeight="false" outlineLevel="0" collapsed="false">
      <c r="A25" s="4" t="s">
        <v>59</v>
      </c>
      <c r="B25" s="4"/>
      <c r="C25" s="4"/>
      <c r="D25" s="4"/>
      <c r="E25" s="4"/>
      <c r="F25" s="4"/>
      <c r="G25" s="4"/>
      <c r="H25" s="4"/>
      <c r="I25" s="4"/>
      <c r="J25" s="4"/>
      <c r="K25" s="4"/>
      <c r="L25" s="4"/>
      <c r="M25" s="4"/>
      <c r="N25" s="4"/>
    </row>
    <row r="26" customFormat="false" ht="15" hidden="false" customHeight="false" outlineLevel="0" collapsed="false">
      <c r="A26" s="22" t="s">
        <v>60</v>
      </c>
      <c r="B26" s="24" t="n">
        <v>0</v>
      </c>
      <c r="C26" s="24" t="n">
        <v>0</v>
      </c>
      <c r="D26" s="24" t="n">
        <v>0</v>
      </c>
      <c r="E26" s="24" t="n">
        <v>0</v>
      </c>
      <c r="F26" s="24" t="n">
        <v>0</v>
      </c>
      <c r="G26" s="24" t="n">
        <v>0</v>
      </c>
      <c r="H26" s="24" t="n">
        <v>0</v>
      </c>
      <c r="I26" s="24" t="n">
        <v>0</v>
      </c>
      <c r="J26" s="24" t="n">
        <v>0</v>
      </c>
      <c r="K26" s="24" t="n">
        <v>0</v>
      </c>
      <c r="L26" s="24" t="n">
        <v>0</v>
      </c>
      <c r="M26" s="24" t="n">
        <v>0</v>
      </c>
      <c r="N26" s="25"/>
    </row>
    <row r="27" customFormat="false" ht="13.8" hidden="false" customHeight="false" outlineLevel="0" collapsed="false"/>
    <row r="28" customFormat="false" ht="13.8" hidden="false" customHeight="false" outlineLevel="0" collapsed="false">
      <c r="A28" s="4" t="s">
        <v>61</v>
      </c>
      <c r="B28" s="4"/>
      <c r="C28" s="4"/>
      <c r="D28" s="4"/>
      <c r="E28" s="4"/>
      <c r="F28" s="4"/>
      <c r="G28" s="4"/>
      <c r="H28" s="4"/>
      <c r="I28" s="4"/>
      <c r="J28" s="4"/>
      <c r="K28" s="4"/>
      <c r="L28" s="4"/>
      <c r="M28" s="4"/>
      <c r="N28" s="4"/>
    </row>
    <row r="29" customFormat="false" ht="15" hidden="false" customHeight="false" outlineLevel="0" collapsed="false">
      <c r="A29" s="22" t="s">
        <v>62</v>
      </c>
      <c r="B29" s="24" t="n">
        <v>18000000</v>
      </c>
      <c r="C29" s="24" t="n">
        <v>0</v>
      </c>
      <c r="D29" s="24" t="n">
        <v>0</v>
      </c>
      <c r="E29" s="24" t="n">
        <v>0</v>
      </c>
      <c r="F29" s="24" t="n">
        <v>0</v>
      </c>
      <c r="G29" s="24" t="n">
        <v>0</v>
      </c>
      <c r="H29" s="24" t="n">
        <v>0</v>
      </c>
      <c r="I29" s="24" t="n">
        <v>0</v>
      </c>
      <c r="J29" s="24" t="n">
        <v>0</v>
      </c>
      <c r="K29" s="24" t="n">
        <v>0</v>
      </c>
      <c r="L29" s="24" t="n">
        <v>0</v>
      </c>
      <c r="M29" s="24" t="n">
        <v>0</v>
      </c>
      <c r="N29" s="25"/>
    </row>
    <row r="30" customFormat="false" ht="15" hidden="false" customHeight="false" outlineLevel="0" collapsed="false">
      <c r="A30" s="22" t="s">
        <v>63</v>
      </c>
      <c r="B30" s="24" t="n">
        <v>2250000</v>
      </c>
      <c r="C30" s="24" t="n">
        <v>0</v>
      </c>
      <c r="D30" s="24" t="n">
        <v>0</v>
      </c>
      <c r="E30" s="24" t="n">
        <v>0</v>
      </c>
      <c r="F30" s="24" t="n">
        <v>0</v>
      </c>
      <c r="G30" s="24" t="n">
        <v>0</v>
      </c>
      <c r="H30" s="24" t="n">
        <v>0</v>
      </c>
      <c r="I30" s="24" t="n">
        <v>0</v>
      </c>
      <c r="J30" s="24" t="n">
        <v>0</v>
      </c>
      <c r="K30" s="24" t="n">
        <v>0</v>
      </c>
      <c r="L30" s="24" t="n">
        <v>0</v>
      </c>
      <c r="M30" s="24" t="n">
        <v>0</v>
      </c>
    </row>
    <row r="31" customFormat="false" ht="12.8" hidden="false" customHeight="false" outlineLevel="0" collapsed="false">
      <c r="A31" s="22" t="s">
        <v>64</v>
      </c>
      <c r="B31" s="28" t="n">
        <v>75</v>
      </c>
      <c r="C31" s="28" t="n">
        <v>0</v>
      </c>
      <c r="D31" s="28" t="n">
        <v>0</v>
      </c>
      <c r="E31" s="28" t="n">
        <v>0</v>
      </c>
      <c r="F31" s="28" t="n">
        <v>0</v>
      </c>
      <c r="G31" s="28" t="n">
        <v>0</v>
      </c>
      <c r="H31" s="28" t="n">
        <v>0</v>
      </c>
      <c r="I31" s="28" t="n">
        <v>0</v>
      </c>
      <c r="J31" s="28" t="n">
        <v>0</v>
      </c>
      <c r="K31" s="28" t="n">
        <v>0</v>
      </c>
      <c r="L31" s="28" t="n">
        <v>0</v>
      </c>
      <c r="M31" s="28" t="n">
        <v>0</v>
      </c>
      <c r="N31" s="25"/>
    </row>
    <row r="32" customFormat="false" ht="12.8" hidden="false" customHeight="false" outlineLevel="0" collapsed="false">
      <c r="A32" s="22" t="s">
        <v>65</v>
      </c>
      <c r="B32" s="24" t="n">
        <v>1628400</v>
      </c>
      <c r="C32" s="24" t="n">
        <v>0</v>
      </c>
      <c r="D32" s="24" t="n">
        <v>0</v>
      </c>
      <c r="E32" s="24" t="n">
        <v>0</v>
      </c>
      <c r="F32" s="24" t="n">
        <v>0</v>
      </c>
      <c r="G32" s="24" t="n">
        <v>0</v>
      </c>
      <c r="H32" s="24" t="n">
        <v>0</v>
      </c>
      <c r="I32" s="24" t="n">
        <v>0</v>
      </c>
      <c r="J32" s="24" t="n">
        <v>0</v>
      </c>
      <c r="K32" s="24" t="n">
        <v>0</v>
      </c>
      <c r="L32" s="24" t="n">
        <v>0</v>
      </c>
      <c r="M32" s="24" t="n">
        <v>0</v>
      </c>
      <c r="N32" s="25"/>
    </row>
    <row r="33" customFormat="false" ht="15" hidden="false" customHeight="false" outlineLevel="0" collapsed="false">
      <c r="A33" s="22" t="s">
        <v>66</v>
      </c>
      <c r="B33" s="24" t="n">
        <v>1200000</v>
      </c>
      <c r="C33" s="24" t="n">
        <v>0</v>
      </c>
      <c r="D33" s="24" t="n">
        <v>0</v>
      </c>
      <c r="E33" s="24" t="n">
        <v>0</v>
      </c>
      <c r="F33" s="24" t="n">
        <v>0</v>
      </c>
      <c r="G33" s="24" t="n">
        <v>0</v>
      </c>
      <c r="H33" s="24" t="n">
        <v>0</v>
      </c>
      <c r="I33" s="24" t="n">
        <v>0</v>
      </c>
      <c r="J33" s="24" t="n">
        <v>0</v>
      </c>
      <c r="K33" s="24" t="n">
        <v>0</v>
      </c>
      <c r="L33" s="24" t="n">
        <v>0</v>
      </c>
      <c r="M33" s="24" t="n">
        <v>0</v>
      </c>
    </row>
    <row r="34" customFormat="false" ht="15" hidden="false" customHeight="false" outlineLevel="0" collapsed="false">
      <c r="A34" s="22" t="s">
        <v>67</v>
      </c>
      <c r="B34" s="24" t="n">
        <v>1156920</v>
      </c>
      <c r="C34" s="24" t="n">
        <v>0</v>
      </c>
      <c r="D34" s="24" t="n">
        <v>0</v>
      </c>
      <c r="E34" s="24" t="n">
        <v>0</v>
      </c>
      <c r="F34" s="24" t="n">
        <v>0</v>
      </c>
      <c r="G34" s="24" t="n">
        <v>0</v>
      </c>
      <c r="H34" s="24" t="n">
        <v>0</v>
      </c>
      <c r="I34" s="24" t="n">
        <v>0</v>
      </c>
      <c r="J34" s="24" t="n">
        <v>0</v>
      </c>
      <c r="K34" s="24" t="n">
        <v>0</v>
      </c>
      <c r="L34" s="24" t="n">
        <v>0</v>
      </c>
      <c r="M34" s="24" t="n">
        <v>0</v>
      </c>
      <c r="N34" s="25"/>
    </row>
  </sheetData>
  <mergeCells count="8">
    <mergeCell ref="A1:N1"/>
    <mergeCell ref="A2:N2"/>
    <mergeCell ref="A4:N4"/>
    <mergeCell ref="A10:N10"/>
    <mergeCell ref="A16:N16"/>
    <mergeCell ref="A21:N21"/>
    <mergeCell ref="A25:N25"/>
    <mergeCell ref="A28:N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3" activeCellId="0" sqref="A3"/>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13" min="2" style="1" width="13"/>
  </cols>
  <sheetData>
    <row r="1" customFormat="false" ht="25.5" hidden="false" customHeight="true" outlineLevel="0" collapsed="false">
      <c r="A1" s="20" t="s">
        <v>68</v>
      </c>
      <c r="B1" s="20"/>
      <c r="C1" s="20"/>
      <c r="D1" s="20"/>
      <c r="E1" s="20"/>
      <c r="F1" s="20"/>
      <c r="G1" s="20"/>
      <c r="H1" s="20"/>
      <c r="I1" s="20"/>
      <c r="J1" s="20"/>
      <c r="K1" s="20"/>
      <c r="L1" s="20"/>
      <c r="M1" s="20"/>
    </row>
    <row r="2" customFormat="false" ht="15" hidden="false" customHeight="false" outlineLevel="0" collapsed="false">
      <c r="A2" s="21" t="s">
        <v>69</v>
      </c>
      <c r="B2" s="21"/>
      <c r="C2" s="21"/>
      <c r="D2" s="21"/>
      <c r="E2" s="21"/>
      <c r="F2" s="21"/>
      <c r="G2" s="21"/>
      <c r="H2" s="21"/>
      <c r="I2" s="21"/>
      <c r="J2" s="21"/>
      <c r="K2" s="21"/>
      <c r="L2" s="21"/>
      <c r="M2" s="21"/>
    </row>
    <row r="3" customFormat="false" ht="15" hidden="false" customHeight="false" outlineLevel="0" collapsed="false">
      <c r="B3" s="26" t="s">
        <v>34</v>
      </c>
      <c r="C3" s="26" t="s">
        <v>35</v>
      </c>
      <c r="D3" s="26" t="s">
        <v>36</v>
      </c>
      <c r="E3" s="26" t="s">
        <v>37</v>
      </c>
      <c r="F3" s="26" t="s">
        <v>38</v>
      </c>
      <c r="G3" s="26" t="s">
        <v>39</v>
      </c>
      <c r="H3" s="26" t="s">
        <v>40</v>
      </c>
      <c r="I3" s="26" t="s">
        <v>41</v>
      </c>
      <c r="J3" s="26" t="s">
        <v>42</v>
      </c>
      <c r="K3" s="26" t="s">
        <v>43</v>
      </c>
      <c r="L3" s="26" t="s">
        <v>44</v>
      </c>
      <c r="M3" s="26" t="s">
        <v>45</v>
      </c>
    </row>
    <row r="5" customFormat="false" ht="18" hidden="false" customHeight="true" outlineLevel="0" collapsed="false">
      <c r="A5" s="4" t="s">
        <v>70</v>
      </c>
      <c r="B5" s="4"/>
      <c r="C5" s="4"/>
      <c r="D5" s="4"/>
      <c r="E5" s="4"/>
      <c r="F5" s="4"/>
      <c r="G5" s="4"/>
      <c r="H5" s="4"/>
      <c r="I5" s="4"/>
      <c r="J5" s="4"/>
      <c r="K5" s="4"/>
      <c r="L5" s="4"/>
      <c r="M5" s="4"/>
    </row>
    <row r="6" customFormat="false" ht="15" hidden="false" customHeight="true" outlineLevel="0" collapsed="false">
      <c r="A6" s="22" t="s">
        <v>71</v>
      </c>
      <c r="B6" s="29" t="n">
        <f aca="false">Assumptions!B11</f>
        <v>800</v>
      </c>
      <c r="C6" s="29" t="n">
        <f aca="false">Assumptions!C11</f>
        <v>0</v>
      </c>
      <c r="D6" s="29" t="n">
        <f aca="false">Assumptions!D11</f>
        <v>0</v>
      </c>
      <c r="E6" s="29" t="n">
        <f aca="false">Assumptions!E11</f>
        <v>0</v>
      </c>
      <c r="F6" s="29" t="n">
        <f aca="false">Assumptions!F11</f>
        <v>0</v>
      </c>
      <c r="G6" s="29" t="n">
        <f aca="false">Assumptions!G11</f>
        <v>0</v>
      </c>
      <c r="H6" s="29" t="n">
        <f aca="false">Assumptions!H11</f>
        <v>0</v>
      </c>
      <c r="I6" s="29" t="n">
        <f aca="false">Assumptions!I11</f>
        <v>0</v>
      </c>
      <c r="J6" s="29" t="n">
        <f aca="false">Assumptions!J11</f>
        <v>0</v>
      </c>
      <c r="K6" s="29" t="n">
        <f aca="false">Assumptions!K11</f>
        <v>0</v>
      </c>
      <c r="L6" s="29" t="n">
        <f aca="false">Assumptions!L11</f>
        <v>0</v>
      </c>
      <c r="M6" s="29" t="n">
        <f aca="false">Assumptions!M11</f>
        <v>0</v>
      </c>
    </row>
    <row r="7" customFormat="false" ht="15" hidden="false" customHeight="true" outlineLevel="0" collapsed="false">
      <c r="A7" s="22" t="s">
        <v>72</v>
      </c>
      <c r="B7" s="30" t="n">
        <f aca="false">B6</f>
        <v>800</v>
      </c>
      <c r="C7" s="30" t="n">
        <f aca="false">B7+C6</f>
        <v>800</v>
      </c>
      <c r="D7" s="30" t="n">
        <f aca="false">C7+D6</f>
        <v>800</v>
      </c>
      <c r="E7" s="30" t="n">
        <f aca="false">D7+E6</f>
        <v>800</v>
      </c>
      <c r="F7" s="30" t="n">
        <f aca="false">E7+F6</f>
        <v>800</v>
      </c>
      <c r="G7" s="30" t="n">
        <f aca="false">F7+G6</f>
        <v>800</v>
      </c>
      <c r="H7" s="30" t="n">
        <f aca="false">G7+H6</f>
        <v>800</v>
      </c>
      <c r="I7" s="30" t="n">
        <f aca="false">H7+I6</f>
        <v>800</v>
      </c>
      <c r="J7" s="30" t="n">
        <f aca="false">I7+J6</f>
        <v>800</v>
      </c>
      <c r="K7" s="30" t="n">
        <f aca="false">J7+K6</f>
        <v>800</v>
      </c>
      <c r="L7" s="30" t="n">
        <f aca="false">K7+L6</f>
        <v>800</v>
      </c>
      <c r="M7" s="30" t="n">
        <f aca="false">L7+M6</f>
        <v>800</v>
      </c>
    </row>
    <row r="8" customFormat="false" ht="15" hidden="false" customHeight="true" outlineLevel="0" collapsed="false">
      <c r="A8" s="22" t="s">
        <v>49</v>
      </c>
      <c r="B8" s="29" t="n">
        <f aca="false">Assumptions!B12</f>
        <v>40</v>
      </c>
      <c r="C8" s="29" t="n">
        <f aca="false">Assumptions!C12</f>
        <v>0</v>
      </c>
      <c r="D8" s="29" t="n">
        <f aca="false">Assumptions!D12</f>
        <v>0</v>
      </c>
      <c r="E8" s="29" t="n">
        <f aca="false">Assumptions!E12</f>
        <v>0</v>
      </c>
      <c r="F8" s="29" t="n">
        <f aca="false">Assumptions!F12</f>
        <v>0</v>
      </c>
      <c r="G8" s="29" t="n">
        <f aca="false">Assumptions!G12</f>
        <v>0</v>
      </c>
      <c r="H8" s="29" t="n">
        <f aca="false">Assumptions!H12</f>
        <v>0</v>
      </c>
      <c r="I8" s="29" t="n">
        <f aca="false">Assumptions!I12</f>
        <v>0</v>
      </c>
      <c r="J8" s="29" t="n">
        <f aca="false">Assumptions!J12</f>
        <v>0</v>
      </c>
      <c r="K8" s="29" t="n">
        <f aca="false">Assumptions!K12</f>
        <v>0</v>
      </c>
      <c r="L8" s="29" t="n">
        <f aca="false">Assumptions!L12</f>
        <v>0</v>
      </c>
      <c r="M8" s="29" t="n">
        <f aca="false">Assumptions!M12</f>
        <v>0</v>
      </c>
    </row>
    <row r="9" customFormat="false" ht="15" hidden="false" customHeight="true" outlineLevel="0" collapsed="false">
      <c r="A9" s="22" t="s">
        <v>50</v>
      </c>
      <c r="B9" s="29" t="n">
        <f aca="false">Assumptions!B13</f>
        <v>0</v>
      </c>
      <c r="C9" s="29" t="n">
        <f aca="false">Assumptions!C13</f>
        <v>0</v>
      </c>
      <c r="D9" s="29" t="n">
        <f aca="false">Assumptions!D13</f>
        <v>0</v>
      </c>
      <c r="E9" s="29" t="n">
        <f aca="false">Assumptions!E13</f>
        <v>0</v>
      </c>
      <c r="F9" s="29" t="n">
        <f aca="false">Assumptions!F13</f>
        <v>0</v>
      </c>
      <c r="G9" s="29" t="n">
        <f aca="false">Assumptions!G13</f>
        <v>0</v>
      </c>
      <c r="H9" s="29" t="n">
        <f aca="false">Assumptions!H13</f>
        <v>0</v>
      </c>
      <c r="I9" s="29" t="n">
        <f aca="false">Assumptions!I13</f>
        <v>0</v>
      </c>
      <c r="J9" s="29" t="n">
        <f aca="false">Assumptions!J13</f>
        <v>0</v>
      </c>
      <c r="K9" s="29" t="n">
        <f aca="false">Assumptions!K13</f>
        <v>0</v>
      </c>
      <c r="L9" s="29" t="n">
        <f aca="false">Assumptions!L13</f>
        <v>0</v>
      </c>
      <c r="M9" s="29" t="n">
        <f aca="false">Assumptions!M13</f>
        <v>0</v>
      </c>
    </row>
    <row r="10" customFormat="false" ht="15" hidden="false" customHeight="true" outlineLevel="0" collapsed="false">
      <c r="A10" s="22" t="s">
        <v>73</v>
      </c>
      <c r="B10" s="30" t="n">
        <f aca="false">B8-B9</f>
        <v>40</v>
      </c>
      <c r="C10" s="30" t="n">
        <f aca="false">B10+C8-C9</f>
        <v>40</v>
      </c>
      <c r="D10" s="30" t="n">
        <f aca="false">C10+D8-D9</f>
        <v>40</v>
      </c>
      <c r="E10" s="30" t="n">
        <f aca="false">D10+E8-E9</f>
        <v>40</v>
      </c>
      <c r="F10" s="30" t="n">
        <f aca="false">E10+F8-F9</f>
        <v>40</v>
      </c>
      <c r="G10" s="30" t="n">
        <f aca="false">F10+G8-G9</f>
        <v>40</v>
      </c>
      <c r="H10" s="30" t="n">
        <f aca="false">G10+H8-H9</f>
        <v>40</v>
      </c>
      <c r="I10" s="30" t="n">
        <f aca="false">H10+I8-I9</f>
        <v>40</v>
      </c>
      <c r="J10" s="30" t="n">
        <f aca="false">I10+J8-J9</f>
        <v>40</v>
      </c>
      <c r="K10" s="30" t="n">
        <f aca="false">J10+K8-K9</f>
        <v>40</v>
      </c>
      <c r="L10" s="30" t="n">
        <f aca="false">K10+L8-L9</f>
        <v>40</v>
      </c>
      <c r="M10" s="30" t="n">
        <f aca="false">L10+M8-M9</f>
        <v>40</v>
      </c>
    </row>
    <row r="11" customFormat="false" ht="15" hidden="false" customHeight="true" outlineLevel="0" collapsed="false">
      <c r="A11" s="22" t="s">
        <v>74</v>
      </c>
      <c r="B11" s="31" t="n">
        <f aca="false">B10*Assumptions!B14</f>
        <v>180000</v>
      </c>
      <c r="C11" s="31" t="n">
        <f aca="false">C10*Assumptions!C14</f>
        <v>0</v>
      </c>
      <c r="D11" s="31" t="n">
        <f aca="false">D10*Assumptions!D14</f>
        <v>0</v>
      </c>
      <c r="E11" s="31" t="n">
        <f aca="false">E10*Assumptions!E14</f>
        <v>0</v>
      </c>
      <c r="F11" s="31" t="n">
        <f aca="false">F10*Assumptions!F14</f>
        <v>0</v>
      </c>
      <c r="G11" s="31" t="n">
        <f aca="false">G10*Assumptions!G14</f>
        <v>0</v>
      </c>
      <c r="H11" s="31" t="n">
        <f aca="false">H10*Assumptions!H14</f>
        <v>0</v>
      </c>
      <c r="I11" s="31" t="n">
        <f aca="false">I10*Assumptions!I14</f>
        <v>0</v>
      </c>
      <c r="J11" s="31" t="n">
        <f aca="false">J10*Assumptions!J14</f>
        <v>0</v>
      </c>
      <c r="K11" s="31" t="n">
        <f aca="false">K10*Assumptions!K14</f>
        <v>0</v>
      </c>
      <c r="L11" s="31" t="n">
        <f aca="false">L10*Assumptions!L14</f>
        <v>0</v>
      </c>
      <c r="M11" s="31" t="n">
        <f aca="false">M10*Assumptions!M14</f>
        <v>0</v>
      </c>
    </row>
    <row r="13" customFormat="false" ht="18" hidden="false" customHeight="true" outlineLevel="0" collapsed="false">
      <c r="A13" s="4" t="s">
        <v>75</v>
      </c>
      <c r="B13" s="4"/>
      <c r="C13" s="4"/>
      <c r="D13" s="4"/>
      <c r="E13" s="4"/>
      <c r="F13" s="4"/>
      <c r="G13" s="4"/>
      <c r="H13" s="4"/>
      <c r="I13" s="4"/>
      <c r="J13" s="4"/>
      <c r="K13" s="4"/>
      <c r="L13" s="4"/>
      <c r="M13" s="4"/>
    </row>
    <row r="14" customFormat="false" ht="15" hidden="false" customHeight="true" outlineLevel="0" collapsed="false">
      <c r="A14" s="22" t="s">
        <v>53</v>
      </c>
      <c r="B14" s="29" t="n">
        <f aca="false">Assumptions!B17</f>
        <v>3</v>
      </c>
      <c r="C14" s="29" t="n">
        <f aca="false">Assumptions!C17</f>
        <v>0</v>
      </c>
      <c r="D14" s="29" t="n">
        <f aca="false">Assumptions!D17</f>
        <v>0</v>
      </c>
      <c r="E14" s="29" t="n">
        <f aca="false">Assumptions!E17</f>
        <v>0</v>
      </c>
      <c r="F14" s="29" t="n">
        <f aca="false">Assumptions!F17</f>
        <v>0</v>
      </c>
      <c r="G14" s="29" t="n">
        <f aca="false">Assumptions!G17</f>
        <v>0</v>
      </c>
      <c r="H14" s="29" t="n">
        <f aca="false">Assumptions!H17</f>
        <v>0</v>
      </c>
      <c r="I14" s="29" t="n">
        <f aca="false">Assumptions!I17</f>
        <v>0</v>
      </c>
      <c r="J14" s="29" t="n">
        <f aca="false">Assumptions!J17</f>
        <v>0</v>
      </c>
      <c r="K14" s="29" t="n">
        <f aca="false">Assumptions!K17</f>
        <v>0</v>
      </c>
      <c r="L14" s="29" t="n">
        <f aca="false">Assumptions!L17</f>
        <v>0</v>
      </c>
      <c r="M14" s="29" t="n">
        <f aca="false">Assumptions!M17</f>
        <v>0</v>
      </c>
    </row>
    <row r="15" customFormat="false" ht="15" hidden="false" customHeight="true" outlineLevel="0" collapsed="false">
      <c r="A15" s="22" t="s">
        <v>54</v>
      </c>
      <c r="B15" s="29" t="n">
        <f aca="false">Assumptions!B18</f>
        <v>0</v>
      </c>
      <c r="C15" s="29" t="n">
        <f aca="false">Assumptions!C18</f>
        <v>0</v>
      </c>
      <c r="D15" s="29" t="n">
        <f aca="false">Assumptions!D18</f>
        <v>0</v>
      </c>
      <c r="E15" s="29" t="n">
        <f aca="false">Assumptions!E18</f>
        <v>0</v>
      </c>
      <c r="F15" s="29" t="n">
        <f aca="false">Assumptions!F18</f>
        <v>0</v>
      </c>
      <c r="G15" s="29" t="n">
        <f aca="false">Assumptions!G18</f>
        <v>0</v>
      </c>
      <c r="H15" s="29" t="n">
        <f aca="false">Assumptions!H18</f>
        <v>0</v>
      </c>
      <c r="I15" s="29" t="n">
        <f aca="false">Assumptions!I18</f>
        <v>0</v>
      </c>
      <c r="J15" s="29" t="n">
        <f aca="false">Assumptions!J18</f>
        <v>0</v>
      </c>
      <c r="K15" s="29" t="n">
        <f aca="false">Assumptions!K18</f>
        <v>0</v>
      </c>
      <c r="L15" s="29" t="n">
        <f aca="false">Assumptions!L18</f>
        <v>0</v>
      </c>
      <c r="M15" s="29" t="n">
        <f aca="false">Assumptions!M18</f>
        <v>0</v>
      </c>
    </row>
    <row r="16" customFormat="false" ht="15" hidden="false" customHeight="true" outlineLevel="0" collapsed="false">
      <c r="A16" s="22" t="s">
        <v>76</v>
      </c>
      <c r="B16" s="30" t="n">
        <f aca="false">B14-B15</f>
        <v>3</v>
      </c>
      <c r="C16" s="30" t="n">
        <f aca="false">B16+C14-C15</f>
        <v>3</v>
      </c>
      <c r="D16" s="30" t="n">
        <f aca="false">C16+D14-D15</f>
        <v>3</v>
      </c>
      <c r="E16" s="30" t="n">
        <f aca="false">D16+E14-E15</f>
        <v>3</v>
      </c>
      <c r="F16" s="30" t="n">
        <f aca="false">E16+F14-F15</f>
        <v>3</v>
      </c>
      <c r="G16" s="30" t="n">
        <f aca="false">F16+G14-G15</f>
        <v>3</v>
      </c>
      <c r="H16" s="30" t="n">
        <f aca="false">G16+H14-H15</f>
        <v>3</v>
      </c>
      <c r="I16" s="30" t="n">
        <f aca="false">H16+I14-I15</f>
        <v>3</v>
      </c>
      <c r="J16" s="30" t="n">
        <f aca="false">I16+J14-J15</f>
        <v>3</v>
      </c>
      <c r="K16" s="30" t="n">
        <f aca="false">J16+K14-K15</f>
        <v>3</v>
      </c>
      <c r="L16" s="30" t="n">
        <f aca="false">K16+L14-L15</f>
        <v>3</v>
      </c>
      <c r="M16" s="30" t="n">
        <f aca="false">L16+M14-M15</f>
        <v>3</v>
      </c>
    </row>
    <row r="17" customFormat="false" ht="15" hidden="false" customHeight="true" outlineLevel="0" collapsed="false">
      <c r="A17" s="22" t="s">
        <v>77</v>
      </c>
      <c r="B17" s="31" t="n">
        <f aca="false">B16*Assumptions!B19</f>
        <v>675000</v>
      </c>
      <c r="C17" s="31" t="n">
        <f aca="false">C16*Assumptions!C19</f>
        <v>0</v>
      </c>
      <c r="D17" s="31" t="n">
        <f aca="false">D16*Assumptions!D19</f>
        <v>0</v>
      </c>
      <c r="E17" s="31" t="n">
        <f aca="false">E16*Assumptions!E19</f>
        <v>0</v>
      </c>
      <c r="F17" s="31" t="n">
        <f aca="false">F16*Assumptions!F19</f>
        <v>0</v>
      </c>
      <c r="G17" s="31" t="n">
        <f aca="false">G16*Assumptions!G19</f>
        <v>0</v>
      </c>
      <c r="H17" s="31" t="n">
        <f aca="false">H16*Assumptions!H19</f>
        <v>0</v>
      </c>
      <c r="I17" s="31" t="n">
        <f aca="false">I16*Assumptions!I19</f>
        <v>0</v>
      </c>
      <c r="J17" s="31" t="n">
        <f aca="false">J16*Assumptions!J19</f>
        <v>0</v>
      </c>
      <c r="K17" s="31" t="n">
        <f aca="false">K16*Assumptions!K19</f>
        <v>0</v>
      </c>
      <c r="L17" s="31" t="n">
        <f aca="false">L16*Assumptions!L19</f>
        <v>0</v>
      </c>
      <c r="M17" s="31" t="n">
        <f aca="false">M16*Assumptions!M19</f>
        <v>0</v>
      </c>
    </row>
    <row r="19" customFormat="false" ht="18" hidden="false" customHeight="true" outlineLevel="0" collapsed="false">
      <c r="A19" s="4" t="s">
        <v>56</v>
      </c>
      <c r="B19" s="4"/>
      <c r="C19" s="4"/>
      <c r="D19" s="4"/>
      <c r="E19" s="4"/>
      <c r="F19" s="4"/>
      <c r="G19" s="4"/>
      <c r="H19" s="4"/>
      <c r="I19" s="4"/>
      <c r="J19" s="4"/>
      <c r="K19" s="4"/>
      <c r="L19" s="4"/>
      <c r="M19" s="4"/>
    </row>
    <row r="20" customFormat="false" ht="15" hidden="false" customHeight="true" outlineLevel="0" collapsed="false">
      <c r="A20" s="22" t="s">
        <v>57</v>
      </c>
      <c r="B20" s="29" t="n">
        <f aca="false">Assumptions!B22</f>
        <v>50</v>
      </c>
      <c r="C20" s="29" t="n">
        <f aca="false">Assumptions!C22</f>
        <v>0</v>
      </c>
      <c r="D20" s="29" t="n">
        <f aca="false">Assumptions!D22</f>
        <v>0</v>
      </c>
      <c r="E20" s="29" t="n">
        <f aca="false">Assumptions!E22</f>
        <v>0</v>
      </c>
      <c r="F20" s="29" t="n">
        <f aca="false">Assumptions!F22</f>
        <v>0</v>
      </c>
      <c r="G20" s="29" t="n">
        <f aca="false">Assumptions!G22</f>
        <v>0</v>
      </c>
      <c r="H20" s="29" t="n">
        <f aca="false">Assumptions!H22</f>
        <v>0</v>
      </c>
      <c r="I20" s="29" t="n">
        <f aca="false">Assumptions!I22</f>
        <v>0</v>
      </c>
      <c r="J20" s="29" t="n">
        <f aca="false">Assumptions!J22</f>
        <v>0</v>
      </c>
      <c r="K20" s="29" t="n">
        <f aca="false">Assumptions!K22</f>
        <v>0</v>
      </c>
      <c r="L20" s="29" t="n">
        <f aca="false">Assumptions!L22</f>
        <v>0</v>
      </c>
      <c r="M20" s="29" t="n">
        <f aca="false">Assumptions!M22</f>
        <v>0</v>
      </c>
    </row>
    <row r="21" customFormat="false" ht="15" hidden="false" customHeight="true" outlineLevel="0" collapsed="false">
      <c r="A21" s="22" t="s">
        <v>78</v>
      </c>
      <c r="B21" s="31" t="n">
        <f aca="false">B20*Assumptions!B23</f>
        <v>750000</v>
      </c>
      <c r="C21" s="31" t="n">
        <f aca="false">C20*Assumptions!C23</f>
        <v>0</v>
      </c>
      <c r="D21" s="31" t="n">
        <f aca="false">D20*Assumptions!D23</f>
        <v>0</v>
      </c>
      <c r="E21" s="31" t="n">
        <f aca="false">E20*Assumptions!E23</f>
        <v>0</v>
      </c>
      <c r="F21" s="31" t="n">
        <f aca="false">F20*Assumptions!F23</f>
        <v>0</v>
      </c>
      <c r="G21" s="31" t="n">
        <f aca="false">G20*Assumptions!G23</f>
        <v>0</v>
      </c>
      <c r="H21" s="31" t="n">
        <f aca="false">H20*Assumptions!H23</f>
        <v>0</v>
      </c>
      <c r="I21" s="31" t="n">
        <f aca="false">I20*Assumptions!I23</f>
        <v>0</v>
      </c>
      <c r="J21" s="31" t="n">
        <f aca="false">J20*Assumptions!J23</f>
        <v>0</v>
      </c>
      <c r="K21" s="31" t="n">
        <f aca="false">K20*Assumptions!K23</f>
        <v>0</v>
      </c>
      <c r="L21" s="31" t="n">
        <f aca="false">L20*Assumptions!L23</f>
        <v>0</v>
      </c>
      <c r="M21" s="31" t="n">
        <f aca="false">M20*Assumptions!M23</f>
        <v>0</v>
      </c>
    </row>
    <row r="23" customFormat="false" ht="18" hidden="false" customHeight="true" outlineLevel="0" collapsed="false">
      <c r="A23" s="4" t="s">
        <v>59</v>
      </c>
      <c r="B23" s="4"/>
      <c r="C23" s="4"/>
      <c r="D23" s="4"/>
      <c r="E23" s="4"/>
      <c r="F23" s="4"/>
      <c r="G23" s="4"/>
      <c r="H23" s="4"/>
      <c r="I23" s="4"/>
      <c r="J23" s="4"/>
      <c r="K23" s="4"/>
      <c r="L23" s="4"/>
      <c r="M23" s="4"/>
    </row>
    <row r="24" customFormat="false" ht="15" hidden="false" customHeight="true" outlineLevel="0" collapsed="false">
      <c r="A24" s="22" t="s">
        <v>79</v>
      </c>
      <c r="B24" s="32" t="n">
        <f aca="false">Assumptions!B26</f>
        <v>0</v>
      </c>
      <c r="C24" s="32" t="n">
        <f aca="false">Assumptions!C26</f>
        <v>0</v>
      </c>
      <c r="D24" s="32" t="n">
        <f aca="false">Assumptions!D26</f>
        <v>0</v>
      </c>
      <c r="E24" s="32" t="n">
        <f aca="false">Assumptions!E26</f>
        <v>0</v>
      </c>
      <c r="F24" s="32" t="n">
        <f aca="false">Assumptions!F26</f>
        <v>0</v>
      </c>
      <c r="G24" s="32" t="n">
        <f aca="false">Assumptions!G26</f>
        <v>0</v>
      </c>
      <c r="H24" s="32" t="n">
        <f aca="false">Assumptions!H26</f>
        <v>0</v>
      </c>
      <c r="I24" s="32" t="n">
        <f aca="false">Assumptions!I26</f>
        <v>0</v>
      </c>
      <c r="J24" s="32" t="n">
        <f aca="false">Assumptions!J26</f>
        <v>0</v>
      </c>
      <c r="K24" s="32" t="n">
        <f aca="false">Assumptions!K26</f>
        <v>0</v>
      </c>
      <c r="L24" s="32" t="n">
        <f aca="false">Assumptions!L26</f>
        <v>0</v>
      </c>
      <c r="M24" s="32" t="n">
        <f aca="false">Assumptions!M26</f>
        <v>0</v>
      </c>
    </row>
    <row r="26" customFormat="false" ht="15" hidden="false" customHeight="true" outlineLevel="0" collapsed="false">
      <c r="A26" s="33" t="s">
        <v>80</v>
      </c>
      <c r="B26" s="34" t="n">
        <f aca="false">B11+B17+B21+B24</f>
        <v>1605000</v>
      </c>
      <c r="C26" s="34" t="n">
        <f aca="false">C11+C17+C21+C24</f>
        <v>0</v>
      </c>
      <c r="D26" s="34" t="n">
        <f aca="false">D11+D17+D21+D24</f>
        <v>0</v>
      </c>
      <c r="E26" s="34" t="n">
        <f aca="false">E11+E17+E21+E24</f>
        <v>0</v>
      </c>
      <c r="F26" s="34" t="n">
        <f aca="false">F11+F17+F21+F24</f>
        <v>0</v>
      </c>
      <c r="G26" s="34" t="n">
        <f aca="false">G11+G17+G21+G24</f>
        <v>0</v>
      </c>
      <c r="H26" s="34" t="n">
        <f aca="false">H11+H17+H21+H24</f>
        <v>0</v>
      </c>
      <c r="I26" s="34" t="n">
        <f aca="false">I11+I17+I21+I24</f>
        <v>0</v>
      </c>
      <c r="J26" s="34" t="n">
        <f aca="false">J11+J17+J21+J24</f>
        <v>0</v>
      </c>
      <c r="K26" s="34" t="n">
        <f aca="false">K11+K17+K21+K24</f>
        <v>0</v>
      </c>
      <c r="L26" s="34" t="n">
        <f aca="false">L11+L17+L21+L24</f>
        <v>0</v>
      </c>
      <c r="M26" s="34" t="n">
        <f aca="false">M11+M17+M21+M24</f>
        <v>0</v>
      </c>
    </row>
  </sheetData>
  <mergeCells count="6">
    <mergeCell ref="A1:M1"/>
    <mergeCell ref="A2:M2"/>
    <mergeCell ref="A5:M5"/>
    <mergeCell ref="A13:M13"/>
    <mergeCell ref="A19:M19"/>
    <mergeCell ref="A23:M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3" activeCellId="0" sqref="A3"/>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13" min="2" style="1" width="13"/>
  </cols>
  <sheetData>
    <row r="1" customFormat="false" ht="25.5" hidden="false" customHeight="true" outlineLevel="0" collapsed="false">
      <c r="A1" s="20" t="s">
        <v>81</v>
      </c>
      <c r="B1" s="20"/>
      <c r="C1" s="20"/>
      <c r="D1" s="20"/>
      <c r="E1" s="20"/>
      <c r="F1" s="20"/>
      <c r="G1" s="20"/>
      <c r="H1" s="20"/>
      <c r="I1" s="20"/>
      <c r="J1" s="20"/>
      <c r="K1" s="20"/>
      <c r="L1" s="20"/>
      <c r="M1" s="20"/>
    </row>
    <row r="2" customFormat="false" ht="15" hidden="false" customHeight="false" outlineLevel="0" collapsed="false">
      <c r="A2" s="21" t="s">
        <v>82</v>
      </c>
      <c r="B2" s="21"/>
      <c r="C2" s="21"/>
      <c r="D2" s="21"/>
      <c r="E2" s="21"/>
      <c r="F2" s="21"/>
      <c r="G2" s="21"/>
      <c r="H2" s="21"/>
      <c r="I2" s="21"/>
      <c r="J2" s="21"/>
      <c r="K2" s="21"/>
      <c r="L2" s="21"/>
      <c r="M2" s="21"/>
    </row>
    <row r="3" customFormat="false" ht="15" hidden="false" customHeight="false" outlineLevel="0" collapsed="false">
      <c r="B3" s="26" t="s">
        <v>34</v>
      </c>
      <c r="C3" s="26" t="s">
        <v>35</v>
      </c>
      <c r="D3" s="26" t="s">
        <v>36</v>
      </c>
      <c r="E3" s="26" t="s">
        <v>37</v>
      </c>
      <c r="F3" s="26" t="s">
        <v>38</v>
      </c>
      <c r="G3" s="26" t="s">
        <v>39</v>
      </c>
      <c r="H3" s="26" t="s">
        <v>40</v>
      </c>
      <c r="I3" s="26" t="s">
        <v>41</v>
      </c>
      <c r="J3" s="26" t="s">
        <v>42</v>
      </c>
      <c r="K3" s="26" t="s">
        <v>43</v>
      </c>
      <c r="L3" s="26" t="s">
        <v>44</v>
      </c>
      <c r="M3" s="26" t="s">
        <v>45</v>
      </c>
    </row>
    <row r="5" customFormat="false" ht="15" hidden="false" customHeight="false" outlineLevel="0" collapsed="false">
      <c r="A5" s="22" t="s">
        <v>62</v>
      </c>
      <c r="B5" s="32" t="n">
        <f aca="false">Assumptions!B29</f>
        <v>18000000</v>
      </c>
      <c r="C5" s="32" t="n">
        <f aca="false">Assumptions!C29</f>
        <v>0</v>
      </c>
      <c r="D5" s="32" t="n">
        <f aca="false">Assumptions!D29</f>
        <v>0</v>
      </c>
      <c r="E5" s="32" t="n">
        <f aca="false">Assumptions!E29</f>
        <v>0</v>
      </c>
      <c r="F5" s="32" t="n">
        <f aca="false">Assumptions!F29</f>
        <v>0</v>
      </c>
      <c r="G5" s="32" t="n">
        <f aca="false">Assumptions!G29</f>
        <v>0</v>
      </c>
      <c r="H5" s="32" t="n">
        <f aca="false">Assumptions!H29</f>
        <v>0</v>
      </c>
      <c r="I5" s="32" t="n">
        <f aca="false">Assumptions!I29</f>
        <v>0</v>
      </c>
      <c r="J5" s="32" t="n">
        <f aca="false">Assumptions!J29</f>
        <v>0</v>
      </c>
      <c r="K5" s="32" t="n">
        <f aca="false">Assumptions!K29</f>
        <v>0</v>
      </c>
      <c r="L5" s="32" t="n">
        <f aca="false">Assumptions!L29</f>
        <v>0</v>
      </c>
      <c r="M5" s="32" t="n">
        <f aca="false">Assumptions!M29</f>
        <v>0</v>
      </c>
    </row>
    <row r="6" customFormat="false" ht="15" hidden="false" customHeight="false" outlineLevel="0" collapsed="false">
      <c r="A6" s="22" t="s">
        <v>83</v>
      </c>
      <c r="B6" s="32" t="n">
        <f aca="false">Assumptions!B30+Assumptions!B31*'Revenue Model'!B7</f>
        <v>2310000</v>
      </c>
      <c r="C6" s="32" t="n">
        <f aca="false">Assumptions!C30+Assumptions!C31*'Revenue Model'!C7</f>
        <v>0</v>
      </c>
      <c r="D6" s="32" t="n">
        <f aca="false">Assumptions!D30+Assumptions!D31*'Revenue Model'!D7</f>
        <v>0</v>
      </c>
      <c r="E6" s="32" t="n">
        <f aca="false">Assumptions!E30+Assumptions!E31*'Revenue Model'!E7</f>
        <v>0</v>
      </c>
      <c r="F6" s="32" t="n">
        <f aca="false">Assumptions!F30+Assumptions!F31*'Revenue Model'!F7</f>
        <v>0</v>
      </c>
      <c r="G6" s="32" t="n">
        <f aca="false">Assumptions!G30+Assumptions!G31*'Revenue Model'!G7</f>
        <v>0</v>
      </c>
      <c r="H6" s="32" t="n">
        <f aca="false">Assumptions!H30+Assumptions!H31*'Revenue Model'!H7</f>
        <v>0</v>
      </c>
      <c r="I6" s="32" t="n">
        <f aca="false">Assumptions!I30+Assumptions!I31*'Revenue Model'!I7</f>
        <v>0</v>
      </c>
      <c r="J6" s="32" t="n">
        <f aca="false">Assumptions!J30+Assumptions!J31*'Revenue Model'!J7</f>
        <v>0</v>
      </c>
      <c r="K6" s="32" t="n">
        <f aca="false">Assumptions!K30+Assumptions!K31*'Revenue Model'!K7</f>
        <v>0</v>
      </c>
      <c r="L6" s="32" t="n">
        <f aca="false">Assumptions!L30+Assumptions!L31*'Revenue Model'!L7</f>
        <v>0</v>
      </c>
      <c r="M6" s="32" t="n">
        <f aca="false">Assumptions!M30+Assumptions!M31*'Revenue Model'!M7</f>
        <v>0</v>
      </c>
    </row>
    <row r="7" customFormat="false" ht="15" hidden="false" customHeight="false" outlineLevel="0" collapsed="false">
      <c r="A7" s="22" t="s">
        <v>84</v>
      </c>
      <c r="B7" s="32" t="n">
        <f aca="false">Assumptions!B32</f>
        <v>1628400</v>
      </c>
      <c r="C7" s="32" t="n">
        <f aca="false">Assumptions!C32</f>
        <v>0</v>
      </c>
      <c r="D7" s="32" t="n">
        <f aca="false">Assumptions!D32</f>
        <v>0</v>
      </c>
      <c r="E7" s="32" t="n">
        <f aca="false">Assumptions!E32</f>
        <v>0</v>
      </c>
      <c r="F7" s="32" t="n">
        <f aca="false">Assumptions!F32</f>
        <v>0</v>
      </c>
      <c r="G7" s="32" t="n">
        <f aca="false">Assumptions!G32</f>
        <v>0</v>
      </c>
      <c r="H7" s="32" t="n">
        <f aca="false">Assumptions!H32</f>
        <v>0</v>
      </c>
      <c r="I7" s="32" t="n">
        <f aca="false">Assumptions!I32</f>
        <v>0</v>
      </c>
      <c r="J7" s="32" t="n">
        <f aca="false">Assumptions!J32</f>
        <v>0</v>
      </c>
      <c r="K7" s="32" t="n">
        <f aca="false">Assumptions!K32</f>
        <v>0</v>
      </c>
      <c r="L7" s="32" t="n">
        <f aca="false">Assumptions!L32</f>
        <v>0</v>
      </c>
      <c r="M7" s="32" t="n">
        <f aca="false">Assumptions!M32</f>
        <v>0</v>
      </c>
    </row>
    <row r="8" customFormat="false" ht="15" hidden="false" customHeight="false" outlineLevel="0" collapsed="false">
      <c r="A8" s="22" t="s">
        <v>66</v>
      </c>
      <c r="B8" s="32" t="n">
        <f aca="false">Assumptions!B33</f>
        <v>1200000</v>
      </c>
      <c r="C8" s="32" t="n">
        <f aca="false">Assumptions!C33</f>
        <v>0</v>
      </c>
      <c r="D8" s="32" t="n">
        <f aca="false">Assumptions!D33</f>
        <v>0</v>
      </c>
      <c r="E8" s="32" t="n">
        <f aca="false">Assumptions!E33</f>
        <v>0</v>
      </c>
      <c r="F8" s="32" t="n">
        <f aca="false">Assumptions!F33</f>
        <v>0</v>
      </c>
      <c r="G8" s="32" t="n">
        <f aca="false">Assumptions!G33</f>
        <v>0</v>
      </c>
      <c r="H8" s="32" t="n">
        <f aca="false">Assumptions!H33</f>
        <v>0</v>
      </c>
      <c r="I8" s="32" t="n">
        <f aca="false">Assumptions!I33</f>
        <v>0</v>
      </c>
      <c r="J8" s="32" t="n">
        <f aca="false">Assumptions!J33</f>
        <v>0</v>
      </c>
      <c r="K8" s="32" t="n">
        <f aca="false">Assumptions!K33</f>
        <v>0</v>
      </c>
      <c r="L8" s="32" t="n">
        <f aca="false">Assumptions!L33</f>
        <v>0</v>
      </c>
      <c r="M8" s="32" t="n">
        <f aca="false">Assumptions!M33</f>
        <v>0</v>
      </c>
    </row>
    <row r="9" customFormat="false" ht="15" hidden="false" customHeight="false" outlineLevel="0" collapsed="false">
      <c r="A9" s="33" t="s">
        <v>85</v>
      </c>
      <c r="B9" s="34" t="n">
        <f aca="false">SUM(B5:B8)</f>
        <v>23138400</v>
      </c>
      <c r="C9" s="34" t="n">
        <f aca="false">SUM(C5:C8)</f>
        <v>0</v>
      </c>
      <c r="D9" s="34" t="n">
        <f aca="false">SUM(D5:D8)</f>
        <v>0</v>
      </c>
      <c r="E9" s="34" t="n">
        <f aca="false">SUM(E5:E8)</f>
        <v>0</v>
      </c>
      <c r="F9" s="34" t="n">
        <f aca="false">SUM(F5:F8)</f>
        <v>0</v>
      </c>
      <c r="G9" s="34" t="n">
        <f aca="false">SUM(G5:G8)</f>
        <v>0</v>
      </c>
      <c r="H9" s="34" t="n">
        <f aca="false">SUM(H5:H8)</f>
        <v>0</v>
      </c>
      <c r="I9" s="34" t="n">
        <f aca="false">SUM(I5:I8)</f>
        <v>0</v>
      </c>
      <c r="J9" s="34" t="n">
        <f aca="false">SUM(J5:J8)</f>
        <v>0</v>
      </c>
      <c r="K9" s="34" t="n">
        <f aca="false">SUM(K5:K8)</f>
        <v>0</v>
      </c>
      <c r="L9" s="34" t="n">
        <f aca="false">SUM(L5:L8)</f>
        <v>0</v>
      </c>
      <c r="M9" s="34" t="n">
        <f aca="false">SUM(M5:M8)</f>
        <v>0</v>
      </c>
    </row>
    <row r="10" customFormat="false" ht="15" hidden="false" customHeight="false" outlineLevel="0" collapsed="false">
      <c r="A10" s="22" t="s">
        <v>67</v>
      </c>
      <c r="B10" s="32" t="n">
        <f aca="false">Assumptions!B34</f>
        <v>1156920</v>
      </c>
      <c r="C10" s="32" t="n">
        <f aca="false">Assumptions!C34</f>
        <v>0</v>
      </c>
      <c r="D10" s="32" t="n">
        <f aca="false">Assumptions!D34</f>
        <v>0</v>
      </c>
      <c r="E10" s="32" t="n">
        <f aca="false">Assumptions!E34</f>
        <v>0</v>
      </c>
      <c r="F10" s="32" t="n">
        <f aca="false">Assumptions!F34</f>
        <v>0</v>
      </c>
      <c r="G10" s="32" t="n">
        <f aca="false">Assumptions!G34</f>
        <v>0</v>
      </c>
      <c r="H10" s="32" t="n">
        <f aca="false">Assumptions!H34</f>
        <v>0</v>
      </c>
      <c r="I10" s="32" t="n">
        <f aca="false">Assumptions!I34</f>
        <v>0</v>
      </c>
      <c r="J10" s="32" t="n">
        <f aca="false">Assumptions!J34</f>
        <v>0</v>
      </c>
      <c r="K10" s="32" t="n">
        <f aca="false">Assumptions!K34</f>
        <v>0</v>
      </c>
      <c r="L10" s="32" t="n">
        <f aca="false">Assumptions!L34</f>
        <v>0</v>
      </c>
      <c r="M10" s="32" t="n">
        <f aca="false">Assumptions!M34</f>
        <v>0</v>
      </c>
    </row>
    <row r="12" customFormat="false" ht="15" hidden="false" customHeight="false" outlineLevel="0" collapsed="false">
      <c r="A12" s="33" t="s">
        <v>86</v>
      </c>
      <c r="B12" s="34" t="n">
        <f aca="false">B9+B10</f>
        <v>24295320</v>
      </c>
      <c r="C12" s="34" t="n">
        <f aca="false">C9+C10</f>
        <v>0</v>
      </c>
      <c r="D12" s="34" t="n">
        <f aca="false">D9+D10</f>
        <v>0</v>
      </c>
      <c r="E12" s="34" t="n">
        <f aca="false">E9+E10</f>
        <v>0</v>
      </c>
      <c r="F12" s="34" t="n">
        <f aca="false">F9+F10</f>
        <v>0</v>
      </c>
      <c r="G12" s="34" t="n">
        <f aca="false">G9+G10</f>
        <v>0</v>
      </c>
      <c r="H12" s="34" t="n">
        <f aca="false">H9+H10</f>
        <v>0</v>
      </c>
      <c r="I12" s="34" t="n">
        <f aca="false">I9+I10</f>
        <v>0</v>
      </c>
      <c r="J12" s="34" t="n">
        <f aca="false">J9+J10</f>
        <v>0</v>
      </c>
      <c r="K12" s="34" t="n">
        <f aca="false">K9+K10</f>
        <v>0</v>
      </c>
      <c r="L12" s="34" t="n">
        <f aca="false">L9+L10</f>
        <v>0</v>
      </c>
      <c r="M12" s="34" t="n">
        <f aca="false">M9+M10</f>
        <v>0</v>
      </c>
    </row>
  </sheetData>
  <mergeCells count="2">
    <mergeCell ref="A1:M1"/>
    <mergeCell ref="A2:M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2" activeCellId="0" sqref="A2"/>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13" min="2" style="1" width="13"/>
  </cols>
  <sheetData>
    <row r="1" customFormat="false" ht="25.5" hidden="false" customHeight="true" outlineLevel="0" collapsed="false">
      <c r="A1" s="2" t="s">
        <v>87</v>
      </c>
      <c r="B1" s="2"/>
      <c r="C1" s="2"/>
      <c r="D1" s="2"/>
      <c r="E1" s="2"/>
      <c r="F1" s="2"/>
      <c r="G1" s="2"/>
      <c r="H1" s="2"/>
      <c r="I1" s="2"/>
      <c r="J1" s="2"/>
      <c r="K1" s="2"/>
      <c r="L1" s="2"/>
      <c r="M1" s="2"/>
    </row>
    <row r="2" customFormat="false" ht="15" hidden="false" customHeight="true" outlineLevel="0" collapsed="false">
      <c r="A2" s="3" t="s">
        <v>88</v>
      </c>
      <c r="B2" s="3"/>
      <c r="C2" s="3"/>
      <c r="D2" s="3"/>
      <c r="E2" s="3"/>
      <c r="F2" s="3"/>
      <c r="G2" s="3"/>
      <c r="H2" s="3"/>
      <c r="I2" s="3"/>
      <c r="J2" s="3"/>
      <c r="K2" s="3"/>
      <c r="L2" s="3"/>
      <c r="M2" s="3"/>
    </row>
    <row r="3" customFormat="false" ht="15.75" hidden="false" customHeight="true" outlineLevel="0" collapsed="false">
      <c r="A3" s="35"/>
      <c r="B3" s="17" t="s">
        <v>34</v>
      </c>
      <c r="C3" s="17" t="s">
        <v>35</v>
      </c>
      <c r="D3" s="17" t="s">
        <v>36</v>
      </c>
      <c r="E3" s="17" t="s">
        <v>37</v>
      </c>
      <c r="F3" s="17" t="s">
        <v>38</v>
      </c>
      <c r="G3" s="17" t="s">
        <v>39</v>
      </c>
      <c r="H3" s="17" t="s">
        <v>40</v>
      </c>
      <c r="I3" s="17" t="s">
        <v>41</v>
      </c>
      <c r="J3" s="17" t="s">
        <v>42</v>
      </c>
      <c r="K3" s="17" t="s">
        <v>43</v>
      </c>
      <c r="L3" s="17" t="s">
        <v>44</v>
      </c>
      <c r="M3" s="17" t="s">
        <v>45</v>
      </c>
    </row>
    <row r="5" customFormat="false" ht="15" hidden="false" customHeight="true" outlineLevel="0" collapsed="false">
      <c r="A5" s="8" t="s">
        <v>89</v>
      </c>
      <c r="B5" s="18" t="n">
        <f aca="false">Assumptions!$B$7</f>
        <v>75000000</v>
      </c>
      <c r="C5" s="18" t="n">
        <f aca="false">B10</f>
        <v>52309680</v>
      </c>
      <c r="D5" s="18" t="n">
        <f aca="false">C10</f>
        <v>52309680</v>
      </c>
      <c r="E5" s="18" t="n">
        <f aca="false">D10</f>
        <v>52309680</v>
      </c>
      <c r="F5" s="18" t="n">
        <f aca="false">E10</f>
        <v>52309680</v>
      </c>
      <c r="G5" s="18" t="n">
        <f aca="false">F10</f>
        <v>52309680</v>
      </c>
      <c r="H5" s="18" t="n">
        <f aca="false">G10</f>
        <v>52309680</v>
      </c>
      <c r="I5" s="18" t="n">
        <f aca="false">H10</f>
        <v>52309680</v>
      </c>
      <c r="J5" s="18" t="n">
        <f aca="false">I10</f>
        <v>52309680</v>
      </c>
      <c r="K5" s="18" t="n">
        <f aca="false">J10</f>
        <v>52309680</v>
      </c>
      <c r="L5" s="18" t="n">
        <f aca="false">K10</f>
        <v>52309680</v>
      </c>
      <c r="M5" s="18" t="n">
        <f aca="false">L10</f>
        <v>52309680</v>
      </c>
    </row>
    <row r="6" customFormat="false" ht="15" hidden="false" customHeight="true" outlineLevel="0" collapsed="false">
      <c r="A6" s="8" t="s">
        <v>90</v>
      </c>
      <c r="B6" s="36" t="n">
        <f aca="false">'Revenue Model'!B26</f>
        <v>1605000</v>
      </c>
      <c r="C6" s="36" t="n">
        <f aca="false">'Revenue Model'!C26</f>
        <v>0</v>
      </c>
      <c r="D6" s="36" t="n">
        <f aca="false">'Revenue Model'!D26</f>
        <v>0</v>
      </c>
      <c r="E6" s="36" t="n">
        <f aca="false">'Revenue Model'!E26</f>
        <v>0</v>
      </c>
      <c r="F6" s="36" t="n">
        <f aca="false">'Revenue Model'!F26</f>
        <v>0</v>
      </c>
      <c r="G6" s="36" t="n">
        <f aca="false">'Revenue Model'!G26</f>
        <v>0</v>
      </c>
      <c r="H6" s="36" t="n">
        <f aca="false">'Revenue Model'!H26</f>
        <v>0</v>
      </c>
      <c r="I6" s="36" t="n">
        <f aca="false">'Revenue Model'!I26</f>
        <v>0</v>
      </c>
      <c r="J6" s="36" t="n">
        <f aca="false">'Revenue Model'!J26</f>
        <v>0</v>
      </c>
      <c r="K6" s="36" t="n">
        <f aca="false">'Revenue Model'!K26</f>
        <v>0</v>
      </c>
      <c r="L6" s="36" t="n">
        <f aca="false">'Revenue Model'!L26</f>
        <v>0</v>
      </c>
      <c r="M6" s="36" t="n">
        <f aca="false">'Revenue Model'!M26</f>
        <v>0</v>
      </c>
    </row>
    <row r="7" customFormat="false" ht="15" hidden="false" customHeight="true" outlineLevel="0" collapsed="false">
      <c r="A7" s="8" t="s">
        <v>91</v>
      </c>
      <c r="B7" s="36" t="n">
        <f aca="false">OpEx!B12</f>
        <v>24295320</v>
      </c>
      <c r="C7" s="36" t="n">
        <f aca="false">OpEx!C12</f>
        <v>0</v>
      </c>
      <c r="D7" s="36" t="n">
        <f aca="false">OpEx!D12</f>
        <v>0</v>
      </c>
      <c r="E7" s="36" t="n">
        <f aca="false">OpEx!E12</f>
        <v>0</v>
      </c>
      <c r="F7" s="36" t="n">
        <f aca="false">OpEx!F12</f>
        <v>0</v>
      </c>
      <c r="G7" s="36" t="n">
        <f aca="false">OpEx!G12</f>
        <v>0</v>
      </c>
      <c r="H7" s="36" t="n">
        <f aca="false">OpEx!H12</f>
        <v>0</v>
      </c>
      <c r="I7" s="36" t="n">
        <f aca="false">OpEx!I12</f>
        <v>0</v>
      </c>
      <c r="J7" s="36" t="n">
        <f aca="false">OpEx!J12</f>
        <v>0</v>
      </c>
      <c r="K7" s="36" t="n">
        <f aca="false">OpEx!K12</f>
        <v>0</v>
      </c>
      <c r="L7" s="36" t="n">
        <f aca="false">OpEx!L12</f>
        <v>0</v>
      </c>
      <c r="M7" s="36" t="n">
        <f aca="false">OpEx!M12</f>
        <v>0</v>
      </c>
    </row>
    <row r="8" customFormat="false" ht="15" hidden="false" customHeight="true" outlineLevel="0" collapsed="false">
      <c r="A8" s="37" t="s">
        <v>92</v>
      </c>
      <c r="B8" s="38" t="n">
        <f aca="false">B6-B7</f>
        <v>-22690320</v>
      </c>
      <c r="C8" s="38" t="n">
        <f aca="false">C6-C7</f>
        <v>0</v>
      </c>
      <c r="D8" s="38" t="n">
        <f aca="false">D6-D7</f>
        <v>0</v>
      </c>
      <c r="E8" s="38" t="n">
        <f aca="false">E6-E7</f>
        <v>0</v>
      </c>
      <c r="F8" s="38" t="n">
        <f aca="false">F6-F7</f>
        <v>0</v>
      </c>
      <c r="G8" s="38" t="n">
        <f aca="false">G6-G7</f>
        <v>0</v>
      </c>
      <c r="H8" s="38" t="n">
        <f aca="false">H6-H7</f>
        <v>0</v>
      </c>
      <c r="I8" s="38" t="n">
        <f aca="false">I6-I7</f>
        <v>0</v>
      </c>
      <c r="J8" s="38" t="n">
        <f aca="false">J6-J7</f>
        <v>0</v>
      </c>
      <c r="K8" s="38" t="n">
        <f aca="false">K6-K7</f>
        <v>0</v>
      </c>
      <c r="L8" s="38" t="n">
        <f aca="false">L6-L7</f>
        <v>0</v>
      </c>
      <c r="M8" s="38" t="n">
        <f aca="false">M6-M7</f>
        <v>0</v>
      </c>
    </row>
    <row r="10" customFormat="false" ht="15" hidden="false" customHeight="true" outlineLevel="0" collapsed="false">
      <c r="A10" s="10" t="s">
        <v>93</v>
      </c>
      <c r="B10" s="39" t="n">
        <f aca="false">B5+B8</f>
        <v>52309680</v>
      </c>
      <c r="C10" s="39" t="n">
        <f aca="false">C5+C8</f>
        <v>52309680</v>
      </c>
      <c r="D10" s="39" t="n">
        <f aca="false">D5+D8</f>
        <v>52309680</v>
      </c>
      <c r="E10" s="39" t="n">
        <f aca="false">E5+E8</f>
        <v>52309680</v>
      </c>
      <c r="F10" s="39" t="n">
        <f aca="false">F5+F8</f>
        <v>52309680</v>
      </c>
      <c r="G10" s="39" t="n">
        <f aca="false">G5+G8</f>
        <v>52309680</v>
      </c>
      <c r="H10" s="39" t="n">
        <f aca="false">H5+H8</f>
        <v>52309680</v>
      </c>
      <c r="I10" s="39" t="n">
        <f aca="false">I5+I8</f>
        <v>52309680</v>
      </c>
      <c r="J10" s="39" t="n">
        <f aca="false">J5+J8</f>
        <v>52309680</v>
      </c>
      <c r="K10" s="39" t="n">
        <f aca="false">K5+K8</f>
        <v>52309680</v>
      </c>
      <c r="L10" s="39" t="n">
        <f aca="false">L5+L8</f>
        <v>52309680</v>
      </c>
      <c r="M10" s="39" t="n">
        <f aca="false">M5+M8</f>
        <v>52309680</v>
      </c>
    </row>
    <row r="12" customFormat="false" ht="15" hidden="false" customHeight="true" outlineLevel="0" collapsed="false">
      <c r="A12" s="4" t="s">
        <v>94</v>
      </c>
      <c r="B12" s="4"/>
      <c r="C12" s="4"/>
      <c r="D12" s="4"/>
      <c r="E12" s="4"/>
      <c r="F12" s="4"/>
      <c r="G12" s="4"/>
      <c r="H12" s="4"/>
      <c r="I12" s="4"/>
      <c r="J12" s="4"/>
      <c r="K12" s="4"/>
      <c r="L12" s="4"/>
      <c r="M12" s="4"/>
    </row>
    <row r="13" customFormat="false" ht="15" hidden="false" customHeight="true" outlineLevel="0" collapsed="false">
      <c r="A13" s="8" t="s">
        <v>95</v>
      </c>
      <c r="B13" s="18" t="n">
        <f aca="false">AVERAGE(B8:G8)</f>
        <v>-3781720</v>
      </c>
    </row>
    <row r="14" customFormat="false" ht="15" hidden="false" customHeight="true" outlineLevel="0" collapsed="false">
      <c r="A14" s="8" t="s">
        <v>96</v>
      </c>
      <c r="B14" s="40" t="n">
        <f aca="false">IF(B13&gt;=0,"Cash-flow positive",Assumptions!$B$7/-B13)</f>
        <v>19.8322456448389</v>
      </c>
    </row>
    <row r="15" customFormat="false" ht="15" hidden="false" customHeight="true" outlineLevel="0" collapsed="false">
      <c r="A15" s="8" t="s">
        <v>97</v>
      </c>
      <c r="B15" s="18" t="n">
        <f aca="false">MIN(B10:M10)</f>
        <v>52309680</v>
      </c>
    </row>
    <row r="16" customFormat="false" ht="15" hidden="false" customHeight="true" outlineLevel="0" collapsed="false">
      <c r="A16" s="8" t="s">
        <v>98</v>
      </c>
      <c r="B16" s="41" t="n">
        <f aca="false">IF(B15&lt;0,-B15,0)</f>
        <v>0</v>
      </c>
    </row>
  </sheetData>
  <mergeCells count="3">
    <mergeCell ref="A1:M1"/>
    <mergeCell ref="A2:M2"/>
    <mergeCell ref="A12:M12"/>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3" topLeftCell="B4" activePane="bottomRight" state="frozen"/>
      <selection pane="topLeft" activeCell="A1" activeCellId="0" sqref="A1"/>
      <selection pane="topRight" activeCell="B1" activeCellId="0" sqref="B1"/>
      <selection pane="bottomLeft" activeCell="A4" activeCellId="0" sqref="A4"/>
      <selection pane="bottomRight" activeCell="A7" activeCellId="0" sqref="A7"/>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14" min="2" style="1" width="13"/>
  </cols>
  <sheetData>
    <row r="1" customFormat="false" ht="25.5" hidden="false" customHeight="true" outlineLevel="0" collapsed="false">
      <c r="A1" s="2" t="s">
        <v>99</v>
      </c>
      <c r="B1" s="2"/>
      <c r="C1" s="2"/>
      <c r="D1" s="2"/>
      <c r="E1" s="2"/>
      <c r="F1" s="2"/>
      <c r="G1" s="2"/>
      <c r="H1" s="2"/>
      <c r="I1" s="2"/>
      <c r="J1" s="2"/>
      <c r="K1" s="2"/>
      <c r="L1" s="2"/>
      <c r="M1" s="2"/>
      <c r="N1" s="2"/>
    </row>
    <row r="2" customFormat="false" ht="15" hidden="false" customHeight="true" outlineLevel="0" collapsed="false">
      <c r="A2" s="3" t="s">
        <v>100</v>
      </c>
      <c r="B2" s="3"/>
      <c r="C2" s="3"/>
      <c r="D2" s="3"/>
      <c r="E2" s="3"/>
      <c r="F2" s="3"/>
      <c r="G2" s="3"/>
      <c r="H2" s="3"/>
      <c r="I2" s="3"/>
      <c r="J2" s="3"/>
      <c r="K2" s="3"/>
      <c r="L2" s="3"/>
      <c r="M2" s="3"/>
      <c r="N2" s="3"/>
    </row>
    <row r="3" customFormat="false" ht="15.75" hidden="false" customHeight="true" outlineLevel="0" collapsed="false">
      <c r="A3" s="35"/>
      <c r="B3" s="17" t="s">
        <v>34</v>
      </c>
      <c r="C3" s="17" t="s">
        <v>35</v>
      </c>
      <c r="D3" s="17" t="s">
        <v>36</v>
      </c>
      <c r="E3" s="17" t="s">
        <v>37</v>
      </c>
      <c r="F3" s="17" t="s">
        <v>38</v>
      </c>
      <c r="G3" s="17" t="s">
        <v>39</v>
      </c>
      <c r="H3" s="17" t="s">
        <v>40</v>
      </c>
      <c r="I3" s="17" t="s">
        <v>41</v>
      </c>
      <c r="J3" s="17" t="s">
        <v>42</v>
      </c>
      <c r="K3" s="17" t="s">
        <v>43</v>
      </c>
      <c r="L3" s="17" t="s">
        <v>44</v>
      </c>
      <c r="M3" s="17" t="s">
        <v>45</v>
      </c>
      <c r="N3" s="17" t="s">
        <v>101</v>
      </c>
    </row>
    <row r="5" customFormat="false" ht="18" hidden="false" customHeight="true" outlineLevel="0" collapsed="false">
      <c r="A5" s="42" t="s">
        <v>102</v>
      </c>
      <c r="B5" s="42"/>
      <c r="C5" s="42"/>
      <c r="D5" s="42"/>
      <c r="E5" s="42"/>
      <c r="F5" s="42"/>
      <c r="G5" s="42"/>
      <c r="H5" s="42"/>
      <c r="I5" s="42"/>
      <c r="J5" s="42"/>
      <c r="K5" s="42"/>
      <c r="L5" s="42"/>
      <c r="M5" s="42"/>
      <c r="N5" s="42"/>
    </row>
    <row r="6" customFormat="false" ht="15" hidden="false" customHeight="true" outlineLevel="0" collapsed="false">
      <c r="A6" s="8" t="s">
        <v>103</v>
      </c>
      <c r="B6" s="36" t="n">
        <f aca="false">'Revenue Model'!B11</f>
        <v>180000</v>
      </c>
      <c r="C6" s="36" t="n">
        <f aca="false">'Revenue Model'!C11</f>
        <v>0</v>
      </c>
      <c r="D6" s="36" t="n">
        <f aca="false">'Revenue Model'!D11</f>
        <v>0</v>
      </c>
      <c r="E6" s="36" t="n">
        <f aca="false">'Revenue Model'!E11</f>
        <v>0</v>
      </c>
      <c r="F6" s="36" t="n">
        <f aca="false">'Revenue Model'!F11</f>
        <v>0</v>
      </c>
      <c r="G6" s="36" t="n">
        <f aca="false">'Revenue Model'!G11</f>
        <v>0</v>
      </c>
      <c r="H6" s="36" t="n">
        <f aca="false">'Revenue Model'!H11</f>
        <v>0</v>
      </c>
      <c r="I6" s="36" t="n">
        <f aca="false">'Revenue Model'!I11</f>
        <v>0</v>
      </c>
      <c r="J6" s="36" t="n">
        <f aca="false">'Revenue Model'!J11</f>
        <v>0</v>
      </c>
      <c r="K6" s="36" t="n">
        <f aca="false">'Revenue Model'!K11</f>
        <v>0</v>
      </c>
      <c r="L6" s="36" t="n">
        <f aca="false">'Revenue Model'!L11</f>
        <v>0</v>
      </c>
      <c r="M6" s="36" t="n">
        <f aca="false">'Revenue Model'!M11</f>
        <v>0</v>
      </c>
      <c r="N6" s="18" t="n">
        <f aca="false">SUM(B6:M6)</f>
        <v>180000</v>
      </c>
    </row>
    <row r="7" customFormat="false" ht="15" hidden="false" customHeight="true" outlineLevel="0" collapsed="false">
      <c r="A7" s="8" t="s">
        <v>104</v>
      </c>
      <c r="B7" s="36" t="n">
        <f aca="false">'Revenue Model'!B17</f>
        <v>675000</v>
      </c>
      <c r="C7" s="36" t="n">
        <f aca="false">'Revenue Model'!C17</f>
        <v>0</v>
      </c>
      <c r="D7" s="36" t="n">
        <f aca="false">'Revenue Model'!D17</f>
        <v>0</v>
      </c>
      <c r="E7" s="36" t="n">
        <f aca="false">'Revenue Model'!E17</f>
        <v>0</v>
      </c>
      <c r="F7" s="36" t="n">
        <f aca="false">'Revenue Model'!F17</f>
        <v>0</v>
      </c>
      <c r="G7" s="36" t="n">
        <f aca="false">'Revenue Model'!G17</f>
        <v>0</v>
      </c>
      <c r="H7" s="36" t="n">
        <f aca="false">'Revenue Model'!H17</f>
        <v>0</v>
      </c>
      <c r="I7" s="36" t="n">
        <f aca="false">'Revenue Model'!I17</f>
        <v>0</v>
      </c>
      <c r="J7" s="36" t="n">
        <f aca="false">'Revenue Model'!J17</f>
        <v>0</v>
      </c>
      <c r="K7" s="36" t="n">
        <f aca="false">'Revenue Model'!K17</f>
        <v>0</v>
      </c>
      <c r="L7" s="36" t="n">
        <f aca="false">'Revenue Model'!L17</f>
        <v>0</v>
      </c>
      <c r="M7" s="36" t="n">
        <f aca="false">'Revenue Model'!M17</f>
        <v>0</v>
      </c>
      <c r="N7" s="18" t="n">
        <f aca="false">SUM(B7:M7)</f>
        <v>675000</v>
      </c>
    </row>
    <row r="8" customFormat="false" ht="15" hidden="false" customHeight="true" outlineLevel="0" collapsed="false">
      <c r="A8" s="8" t="s">
        <v>105</v>
      </c>
      <c r="B8" s="36" t="n">
        <f aca="false">'Revenue Model'!B21</f>
        <v>750000</v>
      </c>
      <c r="C8" s="36" t="n">
        <f aca="false">'Revenue Model'!C21</f>
        <v>0</v>
      </c>
      <c r="D8" s="36" t="n">
        <f aca="false">'Revenue Model'!D21</f>
        <v>0</v>
      </c>
      <c r="E8" s="36" t="n">
        <f aca="false">'Revenue Model'!E21</f>
        <v>0</v>
      </c>
      <c r="F8" s="36" t="n">
        <f aca="false">'Revenue Model'!F21</f>
        <v>0</v>
      </c>
      <c r="G8" s="36" t="n">
        <f aca="false">'Revenue Model'!G21</f>
        <v>0</v>
      </c>
      <c r="H8" s="36" t="n">
        <f aca="false">'Revenue Model'!H21</f>
        <v>0</v>
      </c>
      <c r="I8" s="36" t="n">
        <f aca="false">'Revenue Model'!I21</f>
        <v>0</v>
      </c>
      <c r="J8" s="36" t="n">
        <f aca="false">'Revenue Model'!J21</f>
        <v>0</v>
      </c>
      <c r="K8" s="36" t="n">
        <f aca="false">'Revenue Model'!K21</f>
        <v>0</v>
      </c>
      <c r="L8" s="36" t="n">
        <f aca="false">'Revenue Model'!L21</f>
        <v>0</v>
      </c>
      <c r="M8" s="36" t="n">
        <f aca="false">'Revenue Model'!M21</f>
        <v>0</v>
      </c>
      <c r="N8" s="18" t="n">
        <f aca="false">SUM(B8:M8)</f>
        <v>750000</v>
      </c>
    </row>
    <row r="9" customFormat="false" ht="15" hidden="false" customHeight="true" outlineLevel="0" collapsed="false">
      <c r="A9" s="8" t="s">
        <v>106</v>
      </c>
      <c r="B9" s="36" t="n">
        <f aca="false">'Revenue Model'!B24</f>
        <v>0</v>
      </c>
      <c r="C9" s="36" t="n">
        <f aca="false">'Revenue Model'!C24</f>
        <v>0</v>
      </c>
      <c r="D9" s="36" t="n">
        <f aca="false">'Revenue Model'!D24</f>
        <v>0</v>
      </c>
      <c r="E9" s="36" t="n">
        <f aca="false">'Revenue Model'!E24</f>
        <v>0</v>
      </c>
      <c r="F9" s="36" t="n">
        <f aca="false">'Revenue Model'!F24</f>
        <v>0</v>
      </c>
      <c r="G9" s="36" t="n">
        <f aca="false">'Revenue Model'!G24</f>
        <v>0</v>
      </c>
      <c r="H9" s="36" t="n">
        <f aca="false">'Revenue Model'!H24</f>
        <v>0</v>
      </c>
      <c r="I9" s="36" t="n">
        <f aca="false">'Revenue Model'!I24</f>
        <v>0</v>
      </c>
      <c r="J9" s="36" t="n">
        <f aca="false">'Revenue Model'!J24</f>
        <v>0</v>
      </c>
      <c r="K9" s="36" t="n">
        <f aca="false">'Revenue Model'!K24</f>
        <v>0</v>
      </c>
      <c r="L9" s="36" t="n">
        <f aca="false">'Revenue Model'!L24</f>
        <v>0</v>
      </c>
      <c r="M9" s="36" t="n">
        <f aca="false">'Revenue Model'!M24</f>
        <v>0</v>
      </c>
      <c r="N9" s="18" t="n">
        <f aca="false">SUM(B9:M9)</f>
        <v>0</v>
      </c>
    </row>
    <row r="10" customFormat="false" ht="15" hidden="false" customHeight="true" outlineLevel="0" collapsed="false">
      <c r="A10" s="10" t="s">
        <v>107</v>
      </c>
      <c r="B10" s="39" t="n">
        <f aca="false">SUM(B6:B9)</f>
        <v>1605000</v>
      </c>
      <c r="C10" s="39" t="n">
        <f aca="false">SUM(C6:C9)</f>
        <v>0</v>
      </c>
      <c r="D10" s="39" t="n">
        <f aca="false">SUM(D6:D9)</f>
        <v>0</v>
      </c>
      <c r="E10" s="39" t="n">
        <f aca="false">SUM(E6:E9)</f>
        <v>0</v>
      </c>
      <c r="F10" s="39" t="n">
        <f aca="false">SUM(F6:F9)</f>
        <v>0</v>
      </c>
      <c r="G10" s="39" t="n">
        <f aca="false">SUM(G6:G9)</f>
        <v>0</v>
      </c>
      <c r="H10" s="39" t="n">
        <f aca="false">SUM(H6:H9)</f>
        <v>0</v>
      </c>
      <c r="I10" s="39" t="n">
        <f aca="false">SUM(I6:I9)</f>
        <v>0</v>
      </c>
      <c r="J10" s="39" t="n">
        <f aca="false">SUM(J6:J9)</f>
        <v>0</v>
      </c>
      <c r="K10" s="39" t="n">
        <f aca="false">SUM(K6:K9)</f>
        <v>0</v>
      </c>
      <c r="L10" s="39" t="n">
        <f aca="false">SUM(L6:L9)</f>
        <v>0</v>
      </c>
      <c r="M10" s="39" t="n">
        <f aca="false">SUM(M6:M9)</f>
        <v>0</v>
      </c>
      <c r="N10" s="39" t="n">
        <f aca="false">SUM(B10:M10)</f>
        <v>1605000</v>
      </c>
    </row>
    <row r="12" customFormat="false" ht="18" hidden="false" customHeight="true" outlineLevel="0" collapsed="false">
      <c r="A12" s="42" t="s">
        <v>61</v>
      </c>
      <c r="B12" s="42"/>
      <c r="C12" s="42"/>
      <c r="D12" s="42"/>
      <c r="E12" s="42"/>
      <c r="F12" s="42"/>
      <c r="G12" s="42"/>
      <c r="H12" s="42"/>
      <c r="I12" s="42"/>
      <c r="J12" s="42"/>
      <c r="K12" s="42"/>
      <c r="L12" s="42"/>
      <c r="M12" s="42"/>
      <c r="N12" s="42"/>
    </row>
    <row r="13" customFormat="false" ht="15" hidden="false" customHeight="true" outlineLevel="0" collapsed="false">
      <c r="A13" s="8" t="s">
        <v>108</v>
      </c>
      <c r="B13" s="36" t="n">
        <f aca="false">OpEx!B5</f>
        <v>18000000</v>
      </c>
      <c r="C13" s="36" t="n">
        <f aca="false">OpEx!C5</f>
        <v>0</v>
      </c>
      <c r="D13" s="36" t="n">
        <f aca="false">OpEx!D5</f>
        <v>0</v>
      </c>
      <c r="E13" s="36" t="n">
        <f aca="false">OpEx!E5</f>
        <v>0</v>
      </c>
      <c r="F13" s="36" t="n">
        <f aca="false">OpEx!F5</f>
        <v>0</v>
      </c>
      <c r="G13" s="36" t="n">
        <f aca="false">OpEx!G5</f>
        <v>0</v>
      </c>
      <c r="H13" s="36" t="n">
        <f aca="false">OpEx!H5</f>
        <v>0</v>
      </c>
      <c r="I13" s="36" t="n">
        <f aca="false">OpEx!I5</f>
        <v>0</v>
      </c>
      <c r="J13" s="36" t="n">
        <f aca="false">OpEx!J5</f>
        <v>0</v>
      </c>
      <c r="K13" s="36" t="n">
        <f aca="false">OpEx!K5</f>
        <v>0</v>
      </c>
      <c r="L13" s="36" t="n">
        <f aca="false">OpEx!L5</f>
        <v>0</v>
      </c>
      <c r="M13" s="36" t="n">
        <f aca="false">OpEx!M5</f>
        <v>0</v>
      </c>
      <c r="N13" s="18" t="n">
        <f aca="false">SUM(B13:M13)</f>
        <v>18000000</v>
      </c>
    </row>
    <row r="14" customFormat="false" ht="15" hidden="false" customHeight="true" outlineLevel="0" collapsed="false">
      <c r="A14" s="8" t="s">
        <v>109</v>
      </c>
      <c r="B14" s="36" t="n">
        <f aca="false">OpEx!B6</f>
        <v>2310000</v>
      </c>
      <c r="C14" s="36" t="n">
        <f aca="false">OpEx!C6</f>
        <v>0</v>
      </c>
      <c r="D14" s="36" t="n">
        <f aca="false">OpEx!D6</f>
        <v>0</v>
      </c>
      <c r="E14" s="36" t="n">
        <f aca="false">OpEx!E6</f>
        <v>0</v>
      </c>
      <c r="F14" s="36" t="n">
        <f aca="false">OpEx!F6</f>
        <v>0</v>
      </c>
      <c r="G14" s="36" t="n">
        <f aca="false">OpEx!G6</f>
        <v>0</v>
      </c>
      <c r="H14" s="36" t="n">
        <f aca="false">OpEx!H6</f>
        <v>0</v>
      </c>
      <c r="I14" s="36" t="n">
        <f aca="false">OpEx!I6</f>
        <v>0</v>
      </c>
      <c r="J14" s="36" t="n">
        <f aca="false">OpEx!J6</f>
        <v>0</v>
      </c>
      <c r="K14" s="36" t="n">
        <f aca="false">OpEx!K6</f>
        <v>0</v>
      </c>
      <c r="L14" s="36" t="n">
        <f aca="false">OpEx!L6</f>
        <v>0</v>
      </c>
      <c r="M14" s="36" t="n">
        <f aca="false">OpEx!M6</f>
        <v>0</v>
      </c>
      <c r="N14" s="18" t="n">
        <f aca="false">SUM(B14:M14)</f>
        <v>2310000</v>
      </c>
    </row>
    <row r="15" customFormat="false" ht="15" hidden="false" customHeight="true" outlineLevel="0" collapsed="false">
      <c r="A15" s="8" t="s">
        <v>110</v>
      </c>
      <c r="B15" s="36" t="n">
        <f aca="false">OpEx!B7</f>
        <v>1628400</v>
      </c>
      <c r="C15" s="36" t="n">
        <f aca="false">OpEx!C7</f>
        <v>0</v>
      </c>
      <c r="D15" s="36" t="n">
        <f aca="false">OpEx!D7</f>
        <v>0</v>
      </c>
      <c r="E15" s="36" t="n">
        <f aca="false">OpEx!E7</f>
        <v>0</v>
      </c>
      <c r="F15" s="36" t="n">
        <f aca="false">OpEx!F7</f>
        <v>0</v>
      </c>
      <c r="G15" s="36" t="n">
        <f aca="false">OpEx!G7</f>
        <v>0</v>
      </c>
      <c r="H15" s="36" t="n">
        <f aca="false">OpEx!H7</f>
        <v>0</v>
      </c>
      <c r="I15" s="36" t="n">
        <f aca="false">OpEx!I7</f>
        <v>0</v>
      </c>
      <c r="J15" s="36" t="n">
        <f aca="false">OpEx!J7</f>
        <v>0</v>
      </c>
      <c r="K15" s="36" t="n">
        <f aca="false">OpEx!K7</f>
        <v>0</v>
      </c>
      <c r="L15" s="36" t="n">
        <f aca="false">OpEx!L7</f>
        <v>0</v>
      </c>
      <c r="M15" s="36" t="n">
        <f aca="false">OpEx!M7</f>
        <v>0</v>
      </c>
      <c r="N15" s="18" t="n">
        <f aca="false">SUM(B15:M15)</f>
        <v>1628400</v>
      </c>
    </row>
    <row r="16" customFormat="false" ht="15" hidden="false" customHeight="true" outlineLevel="0" collapsed="false">
      <c r="A16" s="8" t="s">
        <v>111</v>
      </c>
      <c r="B16" s="36" t="n">
        <f aca="false">OpEx!B8</f>
        <v>1200000</v>
      </c>
      <c r="C16" s="36" t="n">
        <f aca="false">OpEx!C8</f>
        <v>0</v>
      </c>
      <c r="D16" s="36" t="n">
        <f aca="false">OpEx!D8</f>
        <v>0</v>
      </c>
      <c r="E16" s="36" t="n">
        <f aca="false">OpEx!E8</f>
        <v>0</v>
      </c>
      <c r="F16" s="36" t="n">
        <f aca="false">OpEx!F8</f>
        <v>0</v>
      </c>
      <c r="G16" s="36" t="n">
        <f aca="false">OpEx!G8</f>
        <v>0</v>
      </c>
      <c r="H16" s="36" t="n">
        <f aca="false">OpEx!H8</f>
        <v>0</v>
      </c>
      <c r="I16" s="36" t="n">
        <f aca="false">OpEx!I8</f>
        <v>0</v>
      </c>
      <c r="J16" s="36" t="n">
        <f aca="false">OpEx!J8</f>
        <v>0</v>
      </c>
      <c r="K16" s="36" t="n">
        <f aca="false">OpEx!K8</f>
        <v>0</v>
      </c>
      <c r="L16" s="36" t="n">
        <f aca="false">OpEx!L8</f>
        <v>0</v>
      </c>
      <c r="M16" s="36" t="n">
        <f aca="false">OpEx!M8</f>
        <v>0</v>
      </c>
      <c r="N16" s="18" t="n">
        <f aca="false">SUM(B16:M16)</f>
        <v>1200000</v>
      </c>
    </row>
    <row r="17" customFormat="false" ht="15" hidden="false" customHeight="true" outlineLevel="0" collapsed="false">
      <c r="A17" s="8" t="s">
        <v>112</v>
      </c>
      <c r="B17" s="36" t="n">
        <f aca="false">OpEx!B10</f>
        <v>1156920</v>
      </c>
      <c r="C17" s="36" t="n">
        <f aca="false">OpEx!C10</f>
        <v>0</v>
      </c>
      <c r="D17" s="36" t="n">
        <f aca="false">OpEx!D10</f>
        <v>0</v>
      </c>
      <c r="E17" s="36" t="n">
        <f aca="false">OpEx!E10</f>
        <v>0</v>
      </c>
      <c r="F17" s="36" t="n">
        <f aca="false">OpEx!F10</f>
        <v>0</v>
      </c>
      <c r="G17" s="36" t="n">
        <f aca="false">OpEx!G10</f>
        <v>0</v>
      </c>
      <c r="H17" s="36" t="n">
        <f aca="false">OpEx!H10</f>
        <v>0</v>
      </c>
      <c r="I17" s="36" t="n">
        <f aca="false">OpEx!I10</f>
        <v>0</v>
      </c>
      <c r="J17" s="36" t="n">
        <f aca="false">OpEx!J10</f>
        <v>0</v>
      </c>
      <c r="K17" s="36" t="n">
        <f aca="false">OpEx!K10</f>
        <v>0</v>
      </c>
      <c r="L17" s="36" t="n">
        <f aca="false">OpEx!L10</f>
        <v>0</v>
      </c>
      <c r="M17" s="36" t="n">
        <f aca="false">OpEx!M10</f>
        <v>0</v>
      </c>
      <c r="N17" s="18" t="n">
        <f aca="false">SUM(B17:M17)</f>
        <v>1156920</v>
      </c>
    </row>
    <row r="18" customFormat="false" ht="15" hidden="false" customHeight="true" outlineLevel="0" collapsed="false">
      <c r="A18" s="10" t="s">
        <v>113</v>
      </c>
      <c r="B18" s="39" t="n">
        <f aca="false">SUM(B13:B17)</f>
        <v>24295320</v>
      </c>
      <c r="C18" s="39" t="n">
        <f aca="false">SUM(C13:C17)</f>
        <v>0</v>
      </c>
      <c r="D18" s="39" t="n">
        <f aca="false">SUM(D13:D17)</f>
        <v>0</v>
      </c>
      <c r="E18" s="39" t="n">
        <f aca="false">SUM(E13:E17)</f>
        <v>0</v>
      </c>
      <c r="F18" s="39" t="n">
        <f aca="false">SUM(F13:F17)</f>
        <v>0</v>
      </c>
      <c r="G18" s="39" t="n">
        <f aca="false">SUM(G13:G17)</f>
        <v>0</v>
      </c>
      <c r="H18" s="39" t="n">
        <f aca="false">SUM(H13:H17)</f>
        <v>0</v>
      </c>
      <c r="I18" s="39" t="n">
        <f aca="false">SUM(I13:I17)</f>
        <v>0</v>
      </c>
      <c r="J18" s="39" t="n">
        <f aca="false">SUM(J13:J17)</f>
        <v>0</v>
      </c>
      <c r="K18" s="39" t="n">
        <f aca="false">SUM(K13:K17)</f>
        <v>0</v>
      </c>
      <c r="L18" s="39" t="n">
        <f aca="false">SUM(L13:L17)</f>
        <v>0</v>
      </c>
      <c r="M18" s="39" t="n">
        <f aca="false">SUM(M13:M17)</f>
        <v>0</v>
      </c>
      <c r="N18" s="39" t="n">
        <f aca="false">SUM(B18:M18)</f>
        <v>24295320</v>
      </c>
    </row>
    <row r="20" customFormat="false" ht="15" hidden="false" customHeight="true" outlineLevel="0" collapsed="false">
      <c r="A20" s="10" t="s">
        <v>114</v>
      </c>
      <c r="B20" s="39" t="n">
        <f aca="false">B10-B18</f>
        <v>-22690320</v>
      </c>
      <c r="C20" s="39" t="n">
        <f aca="false">C10-C18</f>
        <v>0</v>
      </c>
      <c r="D20" s="39" t="n">
        <f aca="false">D10-D18</f>
        <v>0</v>
      </c>
      <c r="E20" s="39" t="n">
        <f aca="false">E10-E18</f>
        <v>0</v>
      </c>
      <c r="F20" s="39" t="n">
        <f aca="false">F10-F18</f>
        <v>0</v>
      </c>
      <c r="G20" s="39" t="n">
        <f aca="false">G10-G18</f>
        <v>0</v>
      </c>
      <c r="H20" s="39" t="n">
        <f aca="false">H10-H18</f>
        <v>0</v>
      </c>
      <c r="I20" s="39" t="n">
        <f aca="false">I10-I18</f>
        <v>0</v>
      </c>
      <c r="J20" s="39" t="n">
        <f aca="false">J10-J18</f>
        <v>0</v>
      </c>
      <c r="K20" s="39" t="n">
        <f aca="false">K10-K18</f>
        <v>0</v>
      </c>
      <c r="L20" s="39" t="n">
        <f aca="false">L10-L18</f>
        <v>0</v>
      </c>
      <c r="M20" s="39" t="n">
        <f aca="false">M10-M18</f>
        <v>0</v>
      </c>
      <c r="N20" s="39" t="n">
        <f aca="false">SUM(B20:M20)</f>
        <v>-22690320</v>
      </c>
    </row>
    <row r="21" customFormat="false" ht="15" hidden="false" customHeight="true" outlineLevel="0" collapsed="false">
      <c r="A21" s="8" t="s">
        <v>115</v>
      </c>
      <c r="B21" s="43" t="n">
        <f aca="false">IFERROR(B20/B10,0)</f>
        <v>-14.1372710280374</v>
      </c>
      <c r="C21" s="43" t="n">
        <f aca="false">IFERROR(C20/C10,0)</f>
        <v>0</v>
      </c>
      <c r="D21" s="43" t="n">
        <f aca="false">IFERROR(D20/D10,0)</f>
        <v>0</v>
      </c>
      <c r="E21" s="43" t="n">
        <f aca="false">IFERROR(E20/E10,0)</f>
        <v>0</v>
      </c>
      <c r="F21" s="43" t="n">
        <f aca="false">IFERROR(F20/F10,0)</f>
        <v>0</v>
      </c>
      <c r="G21" s="43" t="n">
        <f aca="false">IFERROR(G20/G10,0)</f>
        <v>0</v>
      </c>
      <c r="H21" s="43" t="n">
        <f aca="false">IFERROR(H20/H10,0)</f>
        <v>0</v>
      </c>
      <c r="I21" s="43" t="n">
        <f aca="false">IFERROR(I20/I10,0)</f>
        <v>0</v>
      </c>
      <c r="J21" s="43" t="n">
        <f aca="false">IFERROR(J20/J10,0)</f>
        <v>0</v>
      </c>
      <c r="K21" s="43" t="n">
        <f aca="false">IFERROR(K20/K10,0)</f>
        <v>0</v>
      </c>
      <c r="L21" s="43" t="n">
        <f aca="false">IFERROR(L20/L10,0)</f>
        <v>0</v>
      </c>
      <c r="M21" s="43" t="n">
        <f aca="false">IFERROR(M20/M10,0)</f>
        <v>0</v>
      </c>
      <c r="N21" s="43" t="n">
        <f aca="false">IFERROR(N20/N10,0)</f>
        <v>-14.1372710280374</v>
      </c>
    </row>
  </sheetData>
  <mergeCells count="4">
    <mergeCell ref="A1:N1"/>
    <mergeCell ref="A2:N2"/>
    <mergeCell ref="A5:N5"/>
    <mergeCell ref="A12:N12"/>
  </mergeCells>
  <printOptions headings="false" gridLines="false" gridLinesSet="true" horizontalCentered="false" verticalCentered="false"/>
  <pageMargins left="0.3" right="0.3" top="0.4" bottom="0.4"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444</TotalTime>
  <Application>LibreOffice/7.4.7.2$Linux_X86_64 LibreOffice_project/40$Build-2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2026-08-17T08:49:43Z</dcterms:created>
  <dc:creator>openpyxl</dc:creator>
  <dc:description/>
  <dc:language>en-US</dc:language>
  <cp:lastModifiedBy/>
  <dcterms:modified xsi:type="dcterms:W3CDTF">2026-09-07T11:39:46Z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